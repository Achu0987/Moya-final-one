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Tracker" sheetId="3" state="visible" r:id="rId5"/>
    <sheet name="Sitemap" sheetId="4" state="visible" r:id="rId6"/>
    <sheet name="Client Inputs" sheetId="5" state="visible" r:id="rId7"/>
    <sheet name="Claims" sheetId="6" state="visible" r:id="rId8"/>
  </sheets>
  <definedNames>
    <definedName function="false" hidden="true" localSheetId="2" name="_xlnm._FilterDatabase" vbProcedure="false">Tracker!$A$1:$M$41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<sst xmlns="http://schemas.openxmlformats.org/spreadsheetml/2006/main" count="605" uniqueCount="311">
  <si>
    <t xml:space="preserve">Moya One website: project tracker</t>
  </si>
  <si>
    <t xml:space="preserve">Hand this to the developer. Everything she needs to plan and report is in these tabs.</t>
  </si>
  <si>
    <t xml:space="preserve">How to use</t>
  </si>
  <si>
    <t xml:space="preserve">1. Dashboard: enter the kickoff date in the yellow cell. All task dates recalculate from it.</t>
  </si>
  <si>
    <t xml:space="preserve">2. Tracker: one row per task. Update Status (dropdown) and Notes. Do not change IDs.</t>
  </si>
  <si>
    <t xml:space="preserve">4. Client Inputs: everything we are waiting on from Omar. Chase these first.</t>
  </si>
  <si>
    <t xml:space="preserve">5. Claims: every factual claim for the site, and whether it can be published yet.</t>
  </si>
  <si>
    <t xml:space="preserve">Colour key</t>
  </si>
  <si>
    <t xml:space="preserve">Design audit: after every change, the developer runs the taste and impeccable skills and fixes anything that looks vibe-coded. Record "Audit: pass" in Notes. See CLAUDE.md.</t>
  </si>
  <si>
    <t xml:space="preserve">Yellow cell = editable input. Black text = formula, do not overwrite.</t>
  </si>
  <si>
    <t xml:space="preserve">Status values</t>
  </si>
  <si>
    <t xml:space="preserve">Not started, In progress, Blocked, Done. Mark Blocked and add the reason in Notes.</t>
  </si>
  <si>
    <t xml:space="preserve">Kickoff date is Sat 24 Oct 2026. Change it if the agreement is signed later. Change it when the agreement is signed.</t>
  </si>
  <si>
    <t xml:space="preserve">Day numbers are working days (Mon to Sat, Sunday off). Timeline: 4 weeks total (3 build, 1 test), per the call on 2026-10-22. Video is included in that window and is flagged as a risk.</t>
  </si>
  <si>
    <t xml:space="preserve">Moya One: dashboard</t>
  </si>
  <si>
    <t xml:space="preserve">Kickoff date (edit)</t>
  </si>
  <si>
    <t xml:space="preserve">Status</t>
  </si>
  <si>
    <t xml:space="preserve">Tasks</t>
  </si>
  <si>
    <t xml:space="preserve">Not started</t>
  </si>
  <si>
    <t xml:space="preserve">In progress</t>
  </si>
  <si>
    <t xml:space="preserve">Blocked</t>
  </si>
  <si>
    <t xml:space="preserve">Done</t>
  </si>
  <si>
    <t xml:space="preserve">Total tasks</t>
  </si>
  <si>
    <t xml:space="preserve">Percent done</t>
  </si>
  <si>
    <t xml:space="preserve">Overdue (end date passed, not Done)</t>
  </si>
  <si>
    <t xml:space="preserve">Tasks waiting on client</t>
  </si>
  <si>
    <t xml:space="preserve">Project end date (last task)</t>
  </si>
  <si>
    <t xml:space="preserve">ID</t>
  </si>
  <si>
    <t xml:space="preserve">Workstream</t>
  </si>
  <si>
    <t xml:space="preserve">Task</t>
  </si>
  <si>
    <t xml:space="preserve">Owner</t>
  </si>
  <si>
    <t xml:space="preserve">Priority</t>
  </si>
  <si>
    <t xml:space="preserve">Start (working day)</t>
  </si>
  <si>
    <t xml:space="preserve">End (working day)</t>
  </si>
  <si>
    <t xml:space="preserve">Start date</t>
  </si>
  <si>
    <t xml:space="preserve">End date</t>
  </si>
  <si>
    <t xml:space="preserve">Depends on</t>
  </si>
  <si>
    <t xml:space="preserve">Needs client input</t>
  </si>
  <si>
    <t xml:space="preserve">Notes</t>
  </si>
  <si>
    <t xml:space="preserve">B1</t>
  </si>
  <si>
    <t xml:space="preserve">Brand</t>
  </si>
  <si>
    <t xml:space="preserve">Collect logo variations (4 to 5) from client's team</t>
  </si>
  <si>
    <t xml:space="preserve">Vinayak</t>
  </si>
  <si>
    <t xml:space="preserve">Must</t>
  </si>
  <si>
    <t xml:space="preserve">Yes</t>
  </si>
  <si>
    <t xml:space="preserve">Client said the logo team will send 4 to 5 options</t>
  </si>
  <si>
    <t xml:space="preserve">B2</t>
  </si>
  <si>
    <t xml:space="preserve">Collect client's colour and logo preferences</t>
  </si>
  <si>
    <t xml:space="preserve">Client has no brand guidelines yet</t>
  </si>
  <si>
    <t xml:space="preserve">B3</t>
  </si>
  <si>
    <t xml:space="preserve">Lock palette (base, orange, yellow highlight, ink, grey, water blue)</t>
  </si>
  <si>
    <t xml:space="preserve">No</t>
  </si>
  <si>
    <t xml:space="preserve">Chosen by Vinayak. See DESIGN.md</t>
  </si>
  <si>
    <t xml:space="preserve">B4</t>
  </si>
  <si>
    <t xml:space="preserve">Lock typography and heading scale</t>
  </si>
  <si>
    <t xml:space="preserve">Build from DESIGN.md type scale</t>
  </si>
  <si>
    <t xml:space="preserve">B5</t>
  </si>
  <si>
    <t xml:space="preserve">Lock iconography set (one line weight, one style)</t>
  </si>
  <si>
    <t xml:space="preserve">Phosphor icons used in current build</t>
  </si>
  <si>
    <t xml:space="preserve">B6</t>
  </si>
  <si>
    <t xml:space="preserve">Show 2 luxury-and-convenience direction options to Rayansh</t>
  </si>
  <si>
    <t xml:space="preserve">Rayansh signs off before design work continues</t>
  </si>
  <si>
    <t xml:space="preserve">B7</t>
  </si>
  <si>
    <t xml:space="preserve">Confirm patent wording: 'patent filed', not 'patented'</t>
  </si>
  <si>
    <t xml:space="preserve">Rayansh</t>
  </si>
  <si>
    <t xml:space="preserve">Client said 'patented' but later said filed and not examined</t>
  </si>
  <si>
    <t xml:space="preserve">C1</t>
  </si>
  <si>
    <t xml:space="preserve">Content</t>
  </si>
  <si>
    <t xml:space="preserve">Receive presentation PDFs and product details</t>
  </si>
  <si>
    <t xml:space="preserve">Omar (client)</t>
  </si>
  <si>
    <t xml:space="preserve">Promised by end of day 19 Oct. Chase</t>
  </si>
  <si>
    <t xml:space="preserve">C2</t>
  </si>
  <si>
    <t xml:space="preserve">Receive 'How we work' document (water flow, filter stages)</t>
  </si>
  <si>
    <t xml:space="preserve">Client will share. Use only what is claimable</t>
  </si>
  <si>
    <t xml:space="preserve">C3</t>
  </si>
  <si>
    <t xml:space="preserve">Verify zero water wastage and 3LD claims with client's technical team</t>
  </si>
  <si>
    <t xml:space="preserve">Do not publish until verified. See Claims tab</t>
  </si>
  <si>
    <t xml:space="preserve">C4</t>
  </si>
  <si>
    <t xml:space="preserve">Product facts sheet: what can be said and how it is sourced</t>
  </si>
  <si>
    <t xml:space="preserve">C5</t>
  </si>
  <si>
    <t xml:space="preserve">Write home page copy (consumer first)</t>
  </si>
  <si>
    <t xml:space="preserve">Headline: 'Get rid of the hassle.'</t>
  </si>
  <si>
    <t xml:space="preserve">C6</t>
  </si>
  <si>
    <t xml:space="preserve">Write builders page copy</t>
  </si>
  <si>
    <t xml:space="preserve">C7</t>
  </si>
  <si>
    <t xml:space="preserve">Write comparison page copy (bottles, RO filters)</t>
  </si>
  <si>
    <t xml:space="preserve">Qualitative claims only until C3 is done</t>
  </si>
  <si>
    <t xml:space="preserve">C8</t>
  </si>
  <si>
    <t xml:space="preserve">Write environment page copy</t>
  </si>
  <si>
    <t xml:space="preserve">C9</t>
  </si>
  <si>
    <t xml:space="preserve">Write contact and footer copy; replace placeholder email</t>
  </si>
  <si>
    <t xml:space="preserve">Client to confirm the contact address</t>
  </si>
  <si>
    <t xml:space="preserve">D1</t>
  </si>
  <si>
    <t xml:space="preserve">Design</t>
  </si>
  <si>
    <t xml:space="preserve">Moodboard: luxury and convenience reference set (5 to 8 sites)</t>
  </si>
  <si>
    <t xml:space="preserve">Avoid templates and generic SaaS look</t>
  </si>
  <si>
    <t xml:space="preserve">D2</t>
  </si>
  <si>
    <t xml:space="preserve">Bottle illustration: 20-litre jug (wide body, short neck)</t>
  </si>
  <si>
    <t xml:space="preserve">Replaces the battery-shaped drawing</t>
  </si>
  <si>
    <t xml:space="preserve">D3</t>
  </si>
  <si>
    <t xml:space="preserve">Hero scene: stick figure and branded dustbin</t>
  </si>
  <si>
    <t xml:space="preserve">Cap generic, dustbin Moya One branded</t>
  </si>
  <si>
    <t xml:space="preserve">D4</t>
  </si>
  <si>
    <t xml:space="preserve">Basement and control room illustration (isometric, basic, no tech detail)</t>
  </si>
  <si>
    <t xml:space="preserve">Client wants more machinery; keep it evocative, not a schematic</t>
  </si>
  <si>
    <t xml:space="preserve">D5</t>
  </si>
  <si>
    <t xml:space="preserve">Key screens: desktop and 390px mobile for home and builders</t>
  </si>
  <si>
    <t xml:space="preserve">D6</t>
  </si>
  <si>
    <t xml:space="preserve">Component library: buttons, headings, cards, tables, nav</t>
  </si>
  <si>
    <t xml:space="preserve">D7</t>
  </si>
  <si>
    <t xml:space="preserve">Client sign-off on design</t>
  </si>
  <si>
    <t xml:space="preserve">Also needs Rayansh sign-off first</t>
  </si>
  <si>
    <t xml:space="preserve">E1</t>
  </si>
  <si>
    <t xml:space="preserve">Build</t>
  </si>
  <si>
    <t xml:space="preserve">Project setup: framework, GSAP, Lenis, fonts, icons</t>
  </si>
  <si>
    <t xml:space="preserve">Harshita</t>
  </si>
  <si>
    <t xml:space="preserve">Next.js, Nuxt or Vite. Developer's choice; justify it in README</t>
  </si>
  <si>
    <t xml:space="preserve">E2</t>
  </si>
  <si>
    <t xml:space="preserve">Build home page (consumer first, builders teaser)</t>
  </si>
  <si>
    <t xml:space="preserve">E3</t>
  </si>
  <si>
    <t xml:space="preserve">Build builders page (with embedded MP4 video)</t>
  </si>
  <si>
    <t xml:space="preserve">Video is an MP4 file, not a coded animation</t>
  </si>
  <si>
    <t xml:space="preserve">E4</t>
  </si>
  <si>
    <t xml:space="preserve">Build comparison hub and comparison pages</t>
  </si>
  <si>
    <t xml:space="preserve">E5</t>
  </si>
  <si>
    <t xml:space="preserve">Build environment, technology and contact pages</t>
  </si>
  <si>
    <t xml:space="preserve">E6</t>
  </si>
  <si>
    <t xml:space="preserve">Build interactions: recharge demo, app panel, how it works</t>
  </si>
  <si>
    <t xml:space="preserve">Keep numbers labelled 'sample'</t>
  </si>
  <si>
    <t xml:space="preserve">E7</t>
  </si>
  <si>
    <t xml:space="preserve">Responsive QA at 390px and 1440px; no horizontal scroll</t>
  </si>
  <si>
    <t xml:space="preserve">E8</t>
  </si>
  <si>
    <t xml:space="preserve">Reduced-motion check and performance (Lighthouse mobile 85+)</t>
  </si>
  <si>
    <t xml:space="preserve">F1</t>
  </si>
  <si>
    <t xml:space="preserve">Video</t>
  </si>
  <si>
    <t xml:space="preserve">Video script and storyboard (building, pipe, kitchen unit, basement)</t>
  </si>
  <si>
    <t xml:space="preserve">Rayansh's team</t>
  </si>
  <si>
    <t xml:space="preserve">Scope split between video and website still open.</t>
  </si>
  <si>
    <t xml:space="preserve">F2</t>
  </si>
  <si>
    <t xml:space="preserve">Receive client's reference animation</t>
  </si>
  <si>
    <t xml:space="preserve">Promised by end of day 22 Oct</t>
  </si>
  <si>
    <t xml:space="preserve">F3</t>
  </si>
  <si>
    <t xml:space="preserve">Produce MP4 explainer (16:9, plus 9:16 cut for social)</t>
  </si>
  <si>
    <t xml:space="preserve">Biggest timeline risk. Confirm before kickoff</t>
  </si>
  <si>
    <t xml:space="preserve">F4</t>
  </si>
  <si>
    <t xml:space="preserve">Approve video cut with client</t>
  </si>
  <si>
    <t xml:space="preserve">H1</t>
  </si>
  <si>
    <t xml:space="preserve">Launch</t>
  </si>
  <si>
    <t xml:space="preserve">Client review round 1 on full site</t>
  </si>
  <si>
    <t xml:space="preserve">H2</t>
  </si>
  <si>
    <t xml:space="preserve">Fix review round 1 feedback</t>
  </si>
  <si>
    <t xml:space="preserve">H3</t>
  </si>
  <si>
    <t xml:space="preserve">Hosting set up (client hosting or Socialsect server)</t>
  </si>
  <si>
    <t xml:space="preserve">Client has no hosting yet</t>
  </si>
  <si>
    <t xml:space="preserve">H4</t>
  </si>
  <si>
    <t xml:space="preserve">Point domain DNS, go live, check SSL</t>
  </si>
  <si>
    <t xml:space="preserve">H5</t>
  </si>
  <si>
    <t xml:space="preserve">Hand over repo and domain ownership to client</t>
  </si>
  <si>
    <t xml:space="preserve">Domain must be in client's name</t>
  </si>
  <si>
    <t xml:space="preserve">Page</t>
  </si>
  <si>
    <t xml:space="preserve">URL (proposed)</t>
  </si>
  <si>
    <t xml:space="preserve">Audience</t>
  </si>
  <si>
    <t xml:space="preserve">Purpose</t>
  </si>
  <si>
    <t xml:space="preserve">Home</t>
  </si>
  <si>
    <t xml:space="preserve">/</t>
  </si>
  <si>
    <t xml:space="preserve">Consumer, then builder</t>
  </si>
  <si>
    <t xml:space="preserve">Phase 1 Must</t>
  </si>
  <si>
    <t xml:space="preserve">Hero hook, convenience, quality, teaser for builders</t>
  </si>
  <si>
    <t xml:space="preserve">Consumer sections first; builder sections later on the same page</t>
  </si>
  <si>
    <t xml:space="preserve">How it works (consumer)</t>
  </si>
  <si>
    <t xml:space="preserve">/b2c/how-it-works</t>
  </si>
  <si>
    <t xml:space="preserve">Consumer</t>
  </si>
  <si>
    <t xml:space="preserve">Recharge, control unit in your kitchen, the flow</t>
  </si>
  <si>
    <t xml:space="preserve">Interactive recharge demo lives here or on home</t>
  </si>
  <si>
    <t xml:space="preserve">Water quality</t>
  </si>
  <si>
    <t xml:space="preserve">/b2c/water-quality</t>
  </si>
  <si>
    <t xml:space="preserve">Phase 1 Should</t>
  </si>
  <si>
    <t xml:space="preserve">Per-flat readings: TDS, pH, alkalinity, dissolved solids</t>
  </si>
  <si>
    <t xml:space="preserve">Sample data only until client confirms parameters</t>
  </si>
  <si>
    <t xml:space="preserve">Builders</t>
  </si>
  <si>
    <t xml:space="preserve">/b2b/builders</t>
  </si>
  <si>
    <t xml:space="preserve">Builder</t>
  </si>
  <si>
    <t xml:space="preserve">Installed at construction stage, no retrofit, space saved; embedded MP4</t>
  </si>
  <si>
    <t xml:space="preserve">Overview only, no technology detail</t>
  </si>
  <si>
    <t xml:space="preserve">Installation</t>
  </si>
  <si>
    <t xml:space="preserve">/b2b/installation</t>
  </si>
  <si>
    <t xml:space="preserve">Cellar control room, pipe to each flat, what the builder provides</t>
  </si>
  <si>
    <t xml:space="preserve">Keep basic; no schematics</t>
  </si>
  <si>
    <t xml:space="preserve">Compare (hub)</t>
  </si>
  <si>
    <t xml:space="preserve">/compare</t>
  </si>
  <si>
    <t xml:space="preserve">Consumer and builder</t>
  </si>
  <si>
    <t xml:space="preserve">Moya One vs bottled water vs RO filters</t>
  </si>
  <si>
    <t xml:space="preserve">Qualitative labels only</t>
  </si>
  <si>
    <t xml:space="preserve">Compare: bottled water</t>
  </si>
  <si>
    <t xml:space="preserve">/compare/bottled-water</t>
  </si>
  <si>
    <t xml:space="preserve">Bottle routine vs one pipe</t>
  </si>
  <si>
    <t xml:space="preserve">Compare: RO filters</t>
  </si>
  <si>
    <t xml:space="preserve">/compare/ro-filters</t>
  </si>
  <si>
    <t xml:space="preserve">RO wastage and maintenance vs Moya One</t>
  </si>
  <si>
    <t xml:space="preserve">Do not state a wastage figure until verified</t>
  </si>
  <si>
    <t xml:space="preserve">Technology (overview)</t>
  </si>
  <si>
    <t xml:space="preserve">/technology</t>
  </si>
  <si>
    <t xml:space="preserve">Phase 1 Stretch</t>
  </si>
  <si>
    <t xml:space="preserve">Overview of the system, patent filed, no technical depth</t>
  </si>
  <si>
    <t xml:space="preserve">Wording per Claims tab</t>
  </si>
  <si>
    <t xml:space="preserve">Environment</t>
  </si>
  <si>
    <t xml:space="preserve">/environment</t>
  </si>
  <si>
    <t xml:space="preserve">Both</t>
  </si>
  <si>
    <t xml:space="preserve">Plastic, emissions, zero liquid discharge</t>
  </si>
  <si>
    <t xml:space="preserve">Client asked for this page</t>
  </si>
  <si>
    <t xml:space="preserve">How we work</t>
  </si>
  <si>
    <t xml:space="preserve">/how-we-work</t>
  </si>
  <si>
    <t xml:space="preserve">Process from installation to billing</t>
  </si>
  <si>
    <t xml:space="preserve">Use client's 'How we work' document once received</t>
  </si>
  <si>
    <t xml:space="preserve">Contact</t>
  </si>
  <si>
    <t xml:space="preserve">/contact</t>
  </si>
  <si>
    <t xml:space="preserve">Enquiry form, developer and consumer routes</t>
  </si>
  <si>
    <t xml:space="preserve">Form only, no login</t>
  </si>
  <si>
    <t xml:space="preserve">Compare: zero liquid discharge</t>
  </si>
  <si>
    <t xml:space="preserve">/compare/zero-liquid-discharge</t>
  </si>
  <si>
    <t xml:space="preserve">Water wastage angle, deeper comparison</t>
  </si>
  <si>
    <t xml:space="preserve">Blocked until zero-wastage claim is verified</t>
  </si>
  <si>
    <t xml:space="preserve">Compare: other comparisons (x6)</t>
  </si>
  <si>
    <t xml:space="preserve">/compare/...</t>
  </si>
  <si>
    <t xml:space="preserve">Further comparison pages Vinayak proposed</t>
  </si>
  <si>
    <t xml:space="preserve">Count against the 15-page scope. Confirm with Rayansh</t>
  </si>
  <si>
    <t xml:space="preserve">Insights / blog</t>
  </si>
  <si>
    <t xml:space="preserve">/insights</t>
  </si>
  <si>
    <t xml:space="preserve">Later</t>
  </si>
  <si>
    <t xml:space="preserve">Articles and videos</t>
  </si>
  <si>
    <t xml:space="preserve">Deferred by client until builder handover</t>
  </si>
  <si>
    <t xml:space="preserve">App and login</t>
  </si>
  <si>
    <t xml:space="preserve">/app</t>
  </si>
  <si>
    <t xml:space="preserve">Login with payment ID and OTP, payment history</t>
  </si>
  <si>
    <t xml:space="preserve">Not in phase 1</t>
  </si>
  <si>
    <t xml:space="preserve">#</t>
  </si>
  <si>
    <t xml:space="preserve">Item needed from Omar (client)</t>
  </si>
  <si>
    <t xml:space="preserve">Why it matters</t>
  </si>
  <si>
    <t xml:space="preserve">Requested by</t>
  </si>
  <si>
    <t xml:space="preserve">Received on</t>
  </si>
  <si>
    <t xml:space="preserve">Logo variations (4 to 5) from client's logo team</t>
  </si>
  <si>
    <t xml:space="preserve">Needed for home header and brand direction</t>
  </si>
  <si>
    <t xml:space="preserve">Colour and logo preferences</t>
  </si>
  <si>
    <t xml:space="preserve">Lets us check the palette against his taste</t>
  </si>
  <si>
    <t xml:space="preserve">Palette already chosen by Vinayak. Check fit, do not replace</t>
  </si>
  <si>
    <t xml:space="preserve">Presentation PDFs and product details</t>
  </si>
  <si>
    <t xml:space="preserve">Source for product facts and copy</t>
  </si>
  <si>
    <t xml:space="preserve">Promised 19 Oct</t>
  </si>
  <si>
    <t xml:space="preserve">'How we work' document (water flow, filter stages)</t>
  </si>
  <si>
    <t xml:space="preserve">Builders page and installation page copy</t>
  </si>
  <si>
    <t xml:space="preserve">Use only claimable parts</t>
  </si>
  <si>
    <t xml:space="preserve">Reference animation video</t>
  </si>
  <si>
    <t xml:space="preserve">Sets the style for the MP4 explainer</t>
  </si>
  <si>
    <t xml:space="preserve">Promised 22 Oct</t>
  </si>
  <si>
    <t xml:space="preserve">Zero water wastage and 3LD: technical confirmation</t>
  </si>
  <si>
    <t xml:space="preserve">Claims on comparison and environment pages</t>
  </si>
  <si>
    <t xml:space="preserve">Do not publish until confirmed</t>
  </si>
  <si>
    <t xml:space="preserve">Hyderabad community details and permission to name it</t>
  </si>
  <si>
    <t xml:space="preserve">Deployments strip</t>
  </si>
  <si>
    <t xml:space="preserve">Use placeholder until approved</t>
  </si>
  <si>
    <t xml:space="preserve">Final brand name: Moya One or Moya1</t>
  </si>
  <si>
    <t xml:space="preserve">Domain, logo, trademark</t>
  </si>
  <si>
    <t xml:space="preserve">Domain go-moya-one.com recommended</t>
  </si>
  <si>
    <t xml:space="preserve">Confirmation of domain spelling and purchase approval</t>
  </si>
  <si>
    <t xml:space="preserve">Domain purchase</t>
  </si>
  <si>
    <t xml:space="preserve">Monthly plan terms (minimum occupancy, guarantee) for builder pages</t>
  </si>
  <si>
    <t xml:space="preserve">Builders page content</t>
  </si>
  <si>
    <t xml:space="preserve">Not in phase 1 price list. Confirm if needed</t>
  </si>
  <si>
    <t xml:space="preserve">Claim</t>
  </si>
  <si>
    <t xml:space="preserve">Where it came from</t>
  </si>
  <si>
    <t xml:space="preserve">Action before publishing</t>
  </si>
  <si>
    <t xml:space="preserve">Zero water wastage (unlike RO, which wastes about as much as it delivers)</t>
  </si>
  <si>
    <t xml:space="preserve">Client, 19 Oct call</t>
  </si>
  <si>
    <t xml:space="preserve">To confirm</t>
  </si>
  <si>
    <t xml:space="preserve">Get written technical confirmation (C3)</t>
  </si>
  <si>
    <t xml:space="preserve">3LD (zero liquid discharge) technology</t>
  </si>
  <si>
    <t xml:space="preserve">Client, 22 Oct call</t>
  </si>
  <si>
    <t xml:space="preserve">Do not publish until verified</t>
  </si>
  <si>
    <t xml:space="preserve">Patented technology</t>
  </si>
  <si>
    <t xml:space="preserve">Client said 'patented' on 19 Oct, then 'filed, not yet examined' on 22 Oct</t>
  </si>
  <si>
    <t xml:space="preserve">Do not use as stated</t>
  </si>
  <si>
    <t xml:space="preserve">Use 'patent filed' until granted (B7)</t>
  </si>
  <si>
    <t xml:space="preserve">Moya1 control-unit trademark</t>
  </si>
  <si>
    <t xml:space="preserve">Filed, not registered</t>
  </si>
  <si>
    <t xml:space="preserve">Use the TM symbol only, not the registered mark</t>
  </si>
  <si>
    <t xml:space="preserve">Hyderabad community, about 300 apartments, being installed</t>
  </si>
  <si>
    <t xml:space="preserve">Placeholder until client approves naming</t>
  </si>
  <si>
    <t xml:space="preserve">Deployed in India</t>
  </si>
  <si>
    <t xml:space="preserve">Show India only, marked to confirm</t>
  </si>
  <si>
    <t xml:space="preserve">UAE talks with two developers</t>
  </si>
  <si>
    <t xml:space="preserve">Do not publish</t>
  </si>
  <si>
    <t xml:space="preserve">Do not name developers or show logos</t>
  </si>
  <si>
    <t xml:space="preserve">Unlimited water on subscription</t>
  </si>
  <si>
    <t xml:space="preserve">Confirm plan terms before saying 'unlimited'</t>
  </si>
  <si>
    <t xml:space="preserve">Recharge from phone, like a mobile top-up</t>
  </si>
  <si>
    <t xml:space="preserve">Client, 19 Oct call; headline concept</t>
  </si>
  <si>
    <t xml:space="preserve">OK as concept</t>
  </si>
  <si>
    <t xml:space="preserve">App is not built. Show as concept</t>
  </si>
  <si>
    <t xml:space="preserve">Per-flat water-quality readings in app</t>
  </si>
  <si>
    <t xml:space="preserve">Label all readings as sample data</t>
  </si>
  <si>
    <t xml:space="preserve">Best website in the world</t>
  </si>
  <si>
    <t xml:space="preserve">Rayansh on 22 Oct call</t>
  </si>
  <si>
    <t xml:space="preserve">Do not use</t>
  </si>
  <si>
    <t xml:space="preserve">Not a claim the site can make</t>
  </si>
  <si>
    <t xml:space="preserve">Minimum occupancy and minimum guarantee</t>
  </si>
  <si>
    <t xml:space="preserve">Vinayak, 19 Oct call</t>
  </si>
  <si>
    <t xml:space="preserve">Not confirmed</t>
  </si>
  <si>
    <t xml:space="preserve">Do not publish until client confirms terms</t>
  </si>
  <si>
    <t xml:space="preserve">Prices or rupee/dirham rates on site</t>
  </si>
  <si>
    <t xml:space="preserve">Earlier concept drafts</t>
  </si>
  <si>
    <t xml:space="preserve">Remove. Price terms are not public yet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</si>
</sst>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 mmm\ yyyy"/>
    <numFmt numFmtId="166" formatCode="0%"/>
    <numFmt numFmtId="167" formatCode="ddd\ dd\ m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7CC"/>
        <bgColor rgb="FFFBEBEB"/>
      </patternFill>
    </fill>
    <fill>
      <patternFill patternType="solid">
        <fgColor rgb="FF111827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1182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CC"/>
          <bgColor rgb="FF000000"/>
        </patternFill>
      </fill>
    </dxf>
    <dxf>
      <fill>
        <patternFill>
          <bgColor rgb="FFE5F4E4"/>
        </patternFill>
      </fill>
    </dxf>
    <dxf>
      <fill>
        <patternFill>
          <bgColor rgb="FFFBEB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BEB"/>
      <rgbColor rgb="FFE5F4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/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/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3"/>
    </row>
    <row r="13" customFormat="false" ht="15" hidden="false" customHeight="true" outlineLevel="0" collapsed="false">
      <c r="A13" s="4" t="s">
        <v>7</v>
      </c>
    </row>
    <row r="14" customFormat="false" ht="15" hidden="false" customHeight="true" outlineLevel="0" collapsed="false">
      <c r="A14" s="3" t="s">
        <v>8</v>
      </c>
    </row>
    <row r="15" customFormat="false" ht="15" hidden="false" customHeight="true" outlineLevel="0" collapsed="false">
      <c r="A15" s="3" t="s">
        <v>9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4" t="s">
        <v>10</v>
      </c>
    </row>
    <row r="18" customFormat="false" ht="15" hidden="false" customHeight="true" outlineLevel="0" collapsed="false">
      <c r="A18" s="3" t="s">
        <v>11</v>
      </c>
    </row>
    <row r="19" customFormat="false" ht="15" hidden="false" customHeight="true" outlineLevel="0" collapsed="false">
      <c r="A19" s="3"/>
    </row>
    <row r="20" customFormat="false" ht="15" hidden="false" customHeight="true" outlineLevel="0" collapsed="false">
      <c r="A20" s="4"/>
    </row>
    <row r="21" customFormat="false" ht="15" hidden="false" customHeight="true" outlineLevel="0" collapsed="false">
      <c r="A21" s="3" t="s">
        <v>12</v>
      </c>
    </row>
    <row r="22" customFormat="false" ht="15" hidden="false" customHeight="true" outlineLevel="0" collapsed="false">
      <c r="A22" s="3" t="s">
        <v>13</v>
      </c>
    </row>
    <row r="23" customFormat="false" ht="15" hidden="false" customHeight="true" outlineLevel="0" collapsed="false">
      <c r="A2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</cols>
  <sheetData>
    <row r="1" customFormat="false" ht="17.25" hidden="false" customHeight="true" outlineLevel="0" collapsed="false">
      <c r="A1" s="5" t="s">
        <v>14</v>
      </c>
      <c r="B1" s="6"/>
    </row>
    <row r="2" customFormat="false" ht="15" hidden="false" customHeight="true" outlineLevel="0" collapsed="false">
      <c r="A2" s="6"/>
      <c r="B2" s="6"/>
    </row>
    <row r="3" customFormat="false" ht="15" hidden="false" customHeight="true" outlineLevel="0" collapsed="false">
      <c r="A3" s="7" t="s">
        <v>15</v>
      </c>
      <c r="B3" s="8" t="n">
        <v>46319</v>
      </c>
    </row>
    <row r="4" customFormat="false" ht="15" hidden="false" customHeight="true" outlineLevel="0" collapsed="false">
      <c r="A4" s="6"/>
      <c r="B4" s="6"/>
    </row>
    <row r="5" customFormat="false" ht="15" hidden="false" customHeight="true" outlineLevel="0" collapsed="false">
      <c r="A5" s="9" t="s">
        <v>16</v>
      </c>
      <c r="B5" s="9" t="s">
        <v>17</v>
      </c>
    </row>
    <row r="6" customFormat="false" ht="15" hidden="false" customHeight="true" outlineLevel="0" collapsed="false">
      <c r="A6" s="10" t="s">
        <v>18</v>
      </c>
      <c r="B6" s="10" t="n">
        <f aca="false">COUNTIF(Tracker!$L$2:$L$80,A6)</f>
        <v>40</v>
      </c>
    </row>
    <row r="7" customFormat="false" ht="15" hidden="false" customHeight="true" outlineLevel="0" collapsed="false">
      <c r="A7" s="10" t="s">
        <v>19</v>
      </c>
      <c r="B7" s="10" t="n">
        <f aca="false">COUNTIF(Tracker!$L$2:$L$80,A7)</f>
        <v>0</v>
      </c>
    </row>
    <row r="8" customFormat="false" ht="15" hidden="false" customHeight="true" outlineLevel="0" collapsed="false">
      <c r="A8" s="10" t="s">
        <v>20</v>
      </c>
      <c r="B8" s="10" t="n">
        <f aca="false">COUNTIF(Tracker!$L$2:$L$80,A8)</f>
        <v>0</v>
      </c>
    </row>
    <row r="9" customFormat="false" ht="15" hidden="false" customHeight="true" outlineLevel="0" collapsed="false">
      <c r="A9" s="10" t="s">
        <v>21</v>
      </c>
      <c r="B9" s="10" t="n">
        <f aca="false">COUNTIF(Tracker!$L$2:$L$80,A9)</f>
        <v>0</v>
      </c>
    </row>
    <row r="10" customFormat="false" ht="15" hidden="false" customHeight="true" outlineLevel="0" collapsed="false">
      <c r="A10" s="7" t="s">
        <v>22</v>
      </c>
      <c r="B10" s="10" t="n">
        <f aca="false">COUNTA(Tracker!$A$2:$A$80)</f>
        <v>40</v>
      </c>
    </row>
    <row r="11" customFormat="false" ht="15" hidden="false" customHeight="true" outlineLevel="0" collapsed="false">
      <c r="A11" s="7" t="s">
        <v>23</v>
      </c>
      <c r="B11" s="11" t="n">
        <f aca="false">IF(B10=0,0,B9/B10)</f>
        <v>0</v>
      </c>
    </row>
    <row r="12" customFormat="false" ht="15" hidden="false" customHeight="true" outlineLevel="0" collapsed="false">
      <c r="A12" s="7" t="s">
        <v>24</v>
      </c>
      <c r="B12" s="10" t="n">
        <f aca="true">COUNTIFS(Tracker!$I$2:$I$80,"&lt;"&amp;TODAY(),Tracker!$L$2:$L$80,"&lt;&gt;Done")</f>
        <v>0</v>
      </c>
    </row>
    <row r="13" customFormat="false" ht="15" hidden="false" customHeight="true" outlineLevel="0" collapsed="false">
      <c r="A13" s="7" t="s">
        <v>25</v>
      </c>
      <c r="B13" s="10" t="n">
        <f aca="false">COUNTIFS(Tracker!$K$2:$K$80,"Yes",Tracker!$L$2:$L$80,"&lt;&gt;Done")</f>
        <v>12</v>
      </c>
    </row>
    <row r="14" customFormat="false" ht="15" hidden="false" customHeight="true" outlineLevel="0" collapsed="false">
      <c r="A14" s="7" t="s">
        <v>26</v>
      </c>
      <c r="B14" s="12" t="n">
        <f aca="false">MAX(Tracker!$I$2:$I$80)</f>
        <v>46352</v>
      </c>
    </row>
    <row r="15" customFormat="false" ht="15" hidden="false" customHeight="true" outlineLevel="0" collapsed="false">
      <c r="A15" s="7"/>
      <c r="B15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3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7" min="6" style="1" width="9"/>
    <col collapsed="false" customWidth="true" hidden="false" outlineLevel="0" max="9" min="8" style="1" width="14"/>
    <col collapsed="false" customWidth="true" hidden="false" outlineLevel="0" max="10" min="10" style="1" width="11"/>
    <col collapsed="false" customWidth="true" hidden="false" outlineLevel="0" max="11" min="11" style="1" width="12"/>
    <col collapsed="false" customWidth="true" hidden="false" outlineLevel="0" max="12" min="12" style="1" width="14"/>
    <col collapsed="false" customWidth="true" hidden="false" outlineLevel="0" max="13" min="13" style="1" width="52"/>
  </cols>
  <sheetData>
    <row r="1" customFormat="false" ht="51.75" hidden="false" customHeight="true" outlineLevel="0" collapsed="false">
      <c r="A1" s="13" t="s">
        <v>27</v>
      </c>
      <c r="B1" s="13" t="s">
        <v>28</v>
      </c>
      <c r="C1" s="13" t="s">
        <v>29</v>
      </c>
      <c r="D1" s="13" t="s">
        <v>30</v>
      </c>
      <c r="E1" s="13" t="s">
        <v>31</v>
      </c>
      <c r="F1" s="13" t="s">
        <v>32</v>
      </c>
      <c r="G1" s="13" t="s">
        <v>33</v>
      </c>
      <c r="H1" s="13" t="s">
        <v>34</v>
      </c>
      <c r="I1" s="13" t="s">
        <v>35</v>
      </c>
      <c r="J1" s="13" t="s">
        <v>36</v>
      </c>
      <c r="K1" s="13" t="s">
        <v>37</v>
      </c>
      <c r="L1" s="13" t="s">
        <v>16</v>
      </c>
      <c r="M1" s="13" t="s">
        <v>38</v>
      </c>
    </row>
    <row r="2" customFormat="false" ht="15" hidden="false" customHeight="true" outlineLevel="0" collapsed="false">
      <c r="A2" s="14" t="s">
        <v>39</v>
      </c>
      <c r="B2" s="14" t="s">
        <v>40</v>
      </c>
      <c r="C2" s="14" t="s">
        <v>41</v>
      </c>
      <c r="D2" s="14" t="s">
        <v>42</v>
      </c>
      <c r="E2" s="14" t="s">
        <v>43</v>
      </c>
      <c r="F2" s="15" t="n">
        <v>0</v>
      </c>
      <c r="G2" s="15" t="n">
        <v>5</v>
      </c>
      <c r="H2" s="16" t="n">
        <f aca="false">WORKDAY.INTL(Dashboard!$B$3,F2,"0000001")</f>
        <v>46319</v>
      </c>
      <c r="I2" s="16" t="n">
        <f aca="false">WORKDAY.INTL(Dashboard!$B$3,G2,"0000001")</f>
        <v>46325</v>
      </c>
      <c r="J2" s="14"/>
      <c r="K2" s="14" t="s">
        <v>44</v>
      </c>
      <c r="L2" s="15" t="s">
        <v>18</v>
      </c>
      <c r="M2" s="14" t="s">
        <v>45</v>
      </c>
    </row>
    <row r="3" customFormat="false" ht="15" hidden="false" customHeight="true" outlineLevel="0" collapsed="false">
      <c r="A3" s="14" t="s">
        <v>46</v>
      </c>
      <c r="B3" s="14" t="s">
        <v>40</v>
      </c>
      <c r="C3" s="14" t="s">
        <v>47</v>
      </c>
      <c r="D3" s="14" t="s">
        <v>42</v>
      </c>
      <c r="E3" s="14" t="s">
        <v>43</v>
      </c>
      <c r="F3" s="15" t="n">
        <v>0</v>
      </c>
      <c r="G3" s="15" t="n">
        <v>5</v>
      </c>
      <c r="H3" s="16" t="n">
        <f aca="false">WORKDAY.INTL(Dashboard!$B$3,F3,"0000001")</f>
        <v>46319</v>
      </c>
      <c r="I3" s="16" t="n">
        <f aca="false">WORKDAY.INTL(Dashboard!$B$3,G3,"0000001")</f>
        <v>46325</v>
      </c>
      <c r="J3" s="14"/>
      <c r="K3" s="14" t="s">
        <v>44</v>
      </c>
      <c r="L3" s="15" t="s">
        <v>18</v>
      </c>
      <c r="M3" s="14" t="s">
        <v>48</v>
      </c>
    </row>
    <row r="4" customFormat="false" ht="15" hidden="false" customHeight="true" outlineLevel="0" collapsed="false">
      <c r="A4" s="14" t="s">
        <v>49</v>
      </c>
      <c r="B4" s="14" t="s">
        <v>40</v>
      </c>
      <c r="C4" s="14" t="s">
        <v>50</v>
      </c>
      <c r="D4" s="14" t="s">
        <v>42</v>
      </c>
      <c r="E4" s="14" t="s">
        <v>43</v>
      </c>
      <c r="F4" s="15" t="n">
        <v>0</v>
      </c>
      <c r="G4" s="15" t="n">
        <v>2</v>
      </c>
      <c r="H4" s="16" t="n">
        <f aca="false">WORKDAY.INTL(Dashboard!$B$3,F4,"0000001")</f>
        <v>46319</v>
      </c>
      <c r="I4" s="16" t="n">
        <f aca="false">WORKDAY.INTL(Dashboard!$B$3,G4,"0000001")</f>
        <v>46322</v>
      </c>
      <c r="J4" s="14"/>
      <c r="K4" s="14" t="s">
        <v>51</v>
      </c>
      <c r="L4" s="15" t="s">
        <v>18</v>
      </c>
      <c r="M4" s="14" t="s">
        <v>52</v>
      </c>
    </row>
    <row r="5" customFormat="false" ht="15" hidden="false" customHeight="true" outlineLevel="0" collapsed="false">
      <c r="A5" s="14" t="s">
        <v>53</v>
      </c>
      <c r="B5" s="14" t="s">
        <v>40</v>
      </c>
      <c r="C5" s="14" t="s">
        <v>54</v>
      </c>
      <c r="D5" s="14" t="s">
        <v>42</v>
      </c>
      <c r="E5" s="14" t="s">
        <v>43</v>
      </c>
      <c r="F5" s="15" t="n">
        <v>2</v>
      </c>
      <c r="G5" s="15" t="n">
        <v>4</v>
      </c>
      <c r="H5" s="16" t="n">
        <f aca="false">WORKDAY.INTL(Dashboard!$B$3,F5,"0000001")</f>
        <v>46322</v>
      </c>
      <c r="I5" s="16" t="n">
        <f aca="false">WORKDAY.INTL(Dashboard!$B$3,G5,"0000001")</f>
        <v>46324</v>
      </c>
      <c r="J5" s="14" t="s">
        <v>49</v>
      </c>
      <c r="K5" s="14" t="s">
        <v>51</v>
      </c>
      <c r="L5" s="15" t="s">
        <v>18</v>
      </c>
      <c r="M5" s="14" t="s">
        <v>55</v>
      </c>
    </row>
    <row r="6" customFormat="false" ht="15" hidden="false" customHeight="true" outlineLevel="0" collapsed="false">
      <c r="A6" s="14" t="s">
        <v>56</v>
      </c>
      <c r="B6" s="14" t="s">
        <v>40</v>
      </c>
      <c r="C6" s="14" t="s">
        <v>57</v>
      </c>
      <c r="D6" s="14" t="s">
        <v>42</v>
      </c>
      <c r="E6" s="14" t="s">
        <v>43</v>
      </c>
      <c r="F6" s="15" t="n">
        <v>3</v>
      </c>
      <c r="G6" s="15" t="n">
        <v>5</v>
      </c>
      <c r="H6" s="16" t="n">
        <f aca="false">WORKDAY.INTL(Dashboard!$B$3,F6,"0000001")</f>
        <v>46323</v>
      </c>
      <c r="I6" s="16" t="n">
        <f aca="false">WORKDAY.INTL(Dashboard!$B$3,G6,"0000001")</f>
        <v>46325</v>
      </c>
      <c r="J6" s="14" t="s">
        <v>49</v>
      </c>
      <c r="K6" s="14" t="s">
        <v>51</v>
      </c>
      <c r="L6" s="15" t="s">
        <v>18</v>
      </c>
      <c r="M6" s="14" t="s">
        <v>58</v>
      </c>
    </row>
    <row r="7" customFormat="false" ht="15" hidden="false" customHeight="true" outlineLevel="0" collapsed="false">
      <c r="A7" s="14" t="s">
        <v>59</v>
      </c>
      <c r="B7" s="14" t="s">
        <v>40</v>
      </c>
      <c r="C7" s="14" t="s">
        <v>60</v>
      </c>
      <c r="D7" s="14" t="s">
        <v>42</v>
      </c>
      <c r="E7" s="14" t="s">
        <v>43</v>
      </c>
      <c r="F7" s="15" t="n">
        <v>2</v>
      </c>
      <c r="G7" s="15" t="n">
        <v>6</v>
      </c>
      <c r="H7" s="16" t="n">
        <f aca="false">WORKDAY.INTL(Dashboard!$B$3,F7,"0000001")</f>
        <v>46322</v>
      </c>
      <c r="I7" s="16" t="n">
        <f aca="false">WORKDAY.INTL(Dashboard!$B$3,G7,"0000001")</f>
        <v>46326</v>
      </c>
      <c r="J7" s="14" t="s">
        <v>53</v>
      </c>
      <c r="K7" s="14" t="s">
        <v>51</v>
      </c>
      <c r="L7" s="15" t="s">
        <v>18</v>
      </c>
      <c r="M7" s="14" t="s">
        <v>61</v>
      </c>
    </row>
    <row r="8" customFormat="false" ht="15" hidden="false" customHeight="true" outlineLevel="0" collapsed="false">
      <c r="A8" s="14" t="s">
        <v>62</v>
      </c>
      <c r="B8" s="14" t="s">
        <v>40</v>
      </c>
      <c r="C8" s="14" t="s">
        <v>63</v>
      </c>
      <c r="D8" s="14" t="s">
        <v>64</v>
      </c>
      <c r="E8" s="14" t="s">
        <v>43</v>
      </c>
      <c r="F8" s="15" t="n">
        <v>0</v>
      </c>
      <c r="G8" s="15" t="n">
        <v>2</v>
      </c>
      <c r="H8" s="16" t="n">
        <f aca="false">WORKDAY.INTL(Dashboard!$B$3,F8,"0000001")</f>
        <v>46319</v>
      </c>
      <c r="I8" s="16" t="n">
        <f aca="false">WORKDAY.INTL(Dashboard!$B$3,G8,"0000001")</f>
        <v>46322</v>
      </c>
      <c r="J8" s="14"/>
      <c r="K8" s="14" t="s">
        <v>44</v>
      </c>
      <c r="L8" s="15" t="s">
        <v>18</v>
      </c>
      <c r="M8" s="14" t="s">
        <v>65</v>
      </c>
    </row>
    <row r="9" customFormat="false" ht="15" hidden="false" customHeight="true" outlineLevel="0" collapsed="false">
      <c r="A9" s="14" t="s">
        <v>66</v>
      </c>
      <c r="B9" s="14" t="s">
        <v>67</v>
      </c>
      <c r="C9" s="14" t="s">
        <v>68</v>
      </c>
      <c r="D9" s="14" t="s">
        <v>69</v>
      </c>
      <c r="E9" s="14" t="s">
        <v>43</v>
      </c>
      <c r="F9" s="15" t="n">
        <v>0</v>
      </c>
      <c r="G9" s="15" t="n">
        <v>5</v>
      </c>
      <c r="H9" s="16" t="n">
        <f aca="false">WORKDAY.INTL(Dashboard!$B$3,F9,"0000001")</f>
        <v>46319</v>
      </c>
      <c r="I9" s="16" t="n">
        <f aca="false">WORKDAY.INTL(Dashboard!$B$3,G9,"0000001")</f>
        <v>46325</v>
      </c>
      <c r="J9" s="14"/>
      <c r="K9" s="14" t="s">
        <v>44</v>
      </c>
      <c r="L9" s="15" t="s">
        <v>18</v>
      </c>
      <c r="M9" s="14" t="s">
        <v>70</v>
      </c>
    </row>
    <row r="10" customFormat="false" ht="15" hidden="false" customHeight="true" outlineLevel="0" collapsed="false">
      <c r="A10" s="14" t="s">
        <v>71</v>
      </c>
      <c r="B10" s="14" t="s">
        <v>67</v>
      </c>
      <c r="C10" s="14" t="s">
        <v>72</v>
      </c>
      <c r="D10" s="14" t="s">
        <v>69</v>
      </c>
      <c r="E10" s="14" t="s">
        <v>43</v>
      </c>
      <c r="F10" s="15" t="n">
        <v>0</v>
      </c>
      <c r="G10" s="15" t="n">
        <v>5</v>
      </c>
      <c r="H10" s="16" t="n">
        <f aca="false">WORKDAY.INTL(Dashboard!$B$3,F10,"0000001")</f>
        <v>46319</v>
      </c>
      <c r="I10" s="16" t="n">
        <f aca="false">WORKDAY.INTL(Dashboard!$B$3,G10,"0000001")</f>
        <v>46325</v>
      </c>
      <c r="J10" s="14"/>
      <c r="K10" s="14" t="s">
        <v>44</v>
      </c>
      <c r="L10" s="15" t="s">
        <v>18</v>
      </c>
      <c r="M10" s="14" t="s">
        <v>73</v>
      </c>
    </row>
    <row r="11" customFormat="false" ht="15" hidden="false" customHeight="true" outlineLevel="0" collapsed="false">
      <c r="A11" s="14" t="s">
        <v>74</v>
      </c>
      <c r="B11" s="14" t="s">
        <v>67</v>
      </c>
      <c r="C11" s="14" t="s">
        <v>75</v>
      </c>
      <c r="D11" s="14" t="s">
        <v>64</v>
      </c>
      <c r="E11" s="14" t="s">
        <v>43</v>
      </c>
      <c r="F11" s="15" t="n">
        <v>3</v>
      </c>
      <c r="G11" s="15" t="n">
        <v>10</v>
      </c>
      <c r="H11" s="16" t="n">
        <f aca="false">WORKDAY.INTL(Dashboard!$B$3,F11,"0000001")</f>
        <v>46323</v>
      </c>
      <c r="I11" s="16" t="n">
        <f aca="false">WORKDAY.INTL(Dashboard!$B$3,G11,"0000001")</f>
        <v>46331</v>
      </c>
      <c r="J11" s="14" t="s">
        <v>71</v>
      </c>
      <c r="K11" s="14" t="s">
        <v>44</v>
      </c>
      <c r="L11" s="15" t="s">
        <v>18</v>
      </c>
      <c r="M11" s="14" t="s">
        <v>76</v>
      </c>
    </row>
    <row r="12" customFormat="false" ht="15" hidden="false" customHeight="true" outlineLevel="0" collapsed="false">
      <c r="A12" s="14" t="s">
        <v>77</v>
      </c>
      <c r="B12" s="14" t="s">
        <v>67</v>
      </c>
      <c r="C12" s="14" t="s">
        <v>78</v>
      </c>
      <c r="D12" s="14" t="s">
        <v>42</v>
      </c>
      <c r="E12" s="14" t="s">
        <v>43</v>
      </c>
      <c r="F12" s="15" t="n">
        <v>5</v>
      </c>
      <c r="G12" s="15" t="n">
        <v>8</v>
      </c>
      <c r="H12" s="16" t="n">
        <f aca="false">WORKDAY.INTL(Dashboard!$B$3,F12,"0000001")</f>
        <v>46325</v>
      </c>
      <c r="I12" s="16" t="n">
        <f aca="false">WORKDAY.INTL(Dashboard!$B$3,G12,"0000001")</f>
        <v>46329</v>
      </c>
      <c r="J12" s="14" t="s">
        <v>71</v>
      </c>
      <c r="K12" s="14" t="s">
        <v>51</v>
      </c>
      <c r="L12" s="15" t="s">
        <v>18</v>
      </c>
      <c r="M12" s="14"/>
    </row>
    <row r="13" customFormat="false" ht="15" hidden="false" customHeight="true" outlineLevel="0" collapsed="false">
      <c r="A13" s="14" t="s">
        <v>79</v>
      </c>
      <c r="B13" s="14" t="s">
        <v>67</v>
      </c>
      <c r="C13" s="14" t="s">
        <v>80</v>
      </c>
      <c r="D13" s="14" t="s">
        <v>64</v>
      </c>
      <c r="E13" s="14" t="s">
        <v>43</v>
      </c>
      <c r="F13" s="15" t="n">
        <v>5</v>
      </c>
      <c r="G13" s="15" t="n">
        <v>10</v>
      </c>
      <c r="H13" s="16" t="n">
        <f aca="false">WORKDAY.INTL(Dashboard!$B$3,F13,"0000001")</f>
        <v>46325</v>
      </c>
      <c r="I13" s="16" t="n">
        <f aca="false">WORKDAY.INTL(Dashboard!$B$3,G13,"0000001")</f>
        <v>46331</v>
      </c>
      <c r="J13" s="14" t="s">
        <v>77</v>
      </c>
      <c r="K13" s="14" t="s">
        <v>51</v>
      </c>
      <c r="L13" s="15" t="s">
        <v>18</v>
      </c>
      <c r="M13" s="14" t="s">
        <v>81</v>
      </c>
    </row>
    <row r="14" customFormat="false" ht="15" hidden="false" customHeight="true" outlineLevel="0" collapsed="false">
      <c r="A14" s="14" t="s">
        <v>82</v>
      </c>
      <c r="B14" s="14" t="s">
        <v>67</v>
      </c>
      <c r="C14" s="14" t="s">
        <v>83</v>
      </c>
      <c r="D14" s="14" t="s">
        <v>64</v>
      </c>
      <c r="E14" s="14" t="s">
        <v>43</v>
      </c>
      <c r="F14" s="15" t="n">
        <v>5</v>
      </c>
      <c r="G14" s="15" t="n">
        <v>10</v>
      </c>
      <c r="H14" s="16" t="n">
        <f aca="false">WORKDAY.INTL(Dashboard!$B$3,F14,"0000001")</f>
        <v>46325</v>
      </c>
      <c r="I14" s="16" t="n">
        <f aca="false">WORKDAY.INTL(Dashboard!$B$3,G14,"0000001")</f>
        <v>46331</v>
      </c>
      <c r="J14" s="14" t="s">
        <v>77</v>
      </c>
      <c r="K14" s="14" t="s">
        <v>51</v>
      </c>
      <c r="L14" s="15" t="s">
        <v>18</v>
      </c>
      <c r="M14" s="14"/>
    </row>
    <row r="15" customFormat="false" ht="15" hidden="false" customHeight="true" outlineLevel="0" collapsed="false">
      <c r="A15" s="14" t="s">
        <v>84</v>
      </c>
      <c r="B15" s="14" t="s">
        <v>67</v>
      </c>
      <c r="C15" s="14" t="s">
        <v>85</v>
      </c>
      <c r="D15" s="14" t="s">
        <v>64</v>
      </c>
      <c r="E15" s="14" t="s">
        <v>43</v>
      </c>
      <c r="F15" s="15" t="n">
        <v>7</v>
      </c>
      <c r="G15" s="15" t="n">
        <v>12</v>
      </c>
      <c r="H15" s="16" t="n">
        <f aca="false">WORKDAY.INTL(Dashboard!$B$3,F15,"0000001")</f>
        <v>46328</v>
      </c>
      <c r="I15" s="16" t="n">
        <f aca="false">WORKDAY.INTL(Dashboard!$B$3,G15,"0000001")</f>
        <v>46333</v>
      </c>
      <c r="J15" s="14" t="s">
        <v>77</v>
      </c>
      <c r="K15" s="14" t="s">
        <v>51</v>
      </c>
      <c r="L15" s="15" t="s">
        <v>18</v>
      </c>
      <c r="M15" s="14" t="s">
        <v>86</v>
      </c>
    </row>
    <row r="16" customFormat="false" ht="15" hidden="false" customHeight="true" outlineLevel="0" collapsed="false">
      <c r="A16" s="14" t="s">
        <v>87</v>
      </c>
      <c r="B16" s="14" t="s">
        <v>67</v>
      </c>
      <c r="C16" s="14" t="s">
        <v>88</v>
      </c>
      <c r="D16" s="14" t="s">
        <v>64</v>
      </c>
      <c r="E16" s="14" t="s">
        <v>43</v>
      </c>
      <c r="F16" s="15" t="n">
        <v>7</v>
      </c>
      <c r="G16" s="15" t="n">
        <v>12</v>
      </c>
      <c r="H16" s="16" t="n">
        <f aca="false">WORKDAY.INTL(Dashboard!$B$3,F16,"0000001")</f>
        <v>46328</v>
      </c>
      <c r="I16" s="16" t="n">
        <f aca="false">WORKDAY.INTL(Dashboard!$B$3,G16,"0000001")</f>
        <v>46333</v>
      </c>
      <c r="J16" s="14" t="s">
        <v>77</v>
      </c>
      <c r="K16" s="14" t="s">
        <v>51</v>
      </c>
      <c r="L16" s="15" t="s">
        <v>18</v>
      </c>
      <c r="M16" s="14"/>
    </row>
    <row r="17" customFormat="false" ht="15" hidden="false" customHeight="true" outlineLevel="0" collapsed="false">
      <c r="A17" s="14" t="s">
        <v>89</v>
      </c>
      <c r="B17" s="14" t="s">
        <v>67</v>
      </c>
      <c r="C17" s="14" t="s">
        <v>90</v>
      </c>
      <c r="D17" s="14" t="s">
        <v>64</v>
      </c>
      <c r="E17" s="14" t="s">
        <v>43</v>
      </c>
      <c r="F17" s="15" t="n">
        <v>10</v>
      </c>
      <c r="G17" s="15" t="n">
        <v>14</v>
      </c>
      <c r="H17" s="16" t="n">
        <f aca="false">WORKDAY.INTL(Dashboard!$B$3,F17,"0000001")</f>
        <v>46331</v>
      </c>
      <c r="I17" s="16" t="n">
        <f aca="false">WORKDAY.INTL(Dashboard!$B$3,G17,"0000001")</f>
        <v>46336</v>
      </c>
      <c r="J17" s="14"/>
      <c r="K17" s="14" t="s">
        <v>44</v>
      </c>
      <c r="L17" s="15" t="s">
        <v>18</v>
      </c>
      <c r="M17" s="14" t="s">
        <v>91</v>
      </c>
    </row>
    <row r="18" customFormat="false" ht="15" hidden="false" customHeight="true" outlineLevel="0" collapsed="false">
      <c r="A18" s="14" t="s">
        <v>92</v>
      </c>
      <c r="B18" s="14" t="s">
        <v>93</v>
      </c>
      <c r="C18" s="14" t="s">
        <v>94</v>
      </c>
      <c r="D18" s="14" t="s">
        <v>42</v>
      </c>
      <c r="E18" s="14" t="s">
        <v>43</v>
      </c>
      <c r="F18" s="15" t="n">
        <v>2</v>
      </c>
      <c r="G18" s="15" t="n">
        <v>5</v>
      </c>
      <c r="H18" s="16" t="n">
        <f aca="false">WORKDAY.INTL(Dashboard!$B$3,F18,"0000001")</f>
        <v>46322</v>
      </c>
      <c r="I18" s="16" t="n">
        <f aca="false">WORKDAY.INTL(Dashboard!$B$3,G18,"0000001")</f>
        <v>46325</v>
      </c>
      <c r="J18" s="14" t="s">
        <v>59</v>
      </c>
      <c r="K18" s="14" t="s">
        <v>51</v>
      </c>
      <c r="L18" s="15" t="s">
        <v>18</v>
      </c>
      <c r="M18" s="14" t="s">
        <v>95</v>
      </c>
    </row>
    <row r="19" customFormat="false" ht="15" hidden="false" customHeight="true" outlineLevel="0" collapsed="false">
      <c r="A19" s="14" t="s">
        <v>96</v>
      </c>
      <c r="B19" s="14" t="s">
        <v>93</v>
      </c>
      <c r="C19" s="14" t="s">
        <v>97</v>
      </c>
      <c r="D19" s="14" t="s">
        <v>42</v>
      </c>
      <c r="E19" s="14" t="s">
        <v>43</v>
      </c>
      <c r="F19" s="15" t="n">
        <v>2</v>
      </c>
      <c r="G19" s="15" t="n">
        <v>5</v>
      </c>
      <c r="H19" s="16" t="n">
        <f aca="false">WORKDAY.INTL(Dashboard!$B$3,F19,"0000001")</f>
        <v>46322</v>
      </c>
      <c r="I19" s="16" t="n">
        <f aca="false">WORKDAY.INTL(Dashboard!$B$3,G19,"0000001")</f>
        <v>46325</v>
      </c>
      <c r="J19" s="14" t="s">
        <v>49</v>
      </c>
      <c r="K19" s="14" t="s">
        <v>51</v>
      </c>
      <c r="L19" s="15" t="s">
        <v>18</v>
      </c>
      <c r="M19" s="14" t="s">
        <v>98</v>
      </c>
    </row>
    <row r="20" customFormat="false" ht="15" hidden="false" customHeight="true" outlineLevel="0" collapsed="false">
      <c r="A20" s="14" t="s">
        <v>99</v>
      </c>
      <c r="B20" s="14" t="s">
        <v>93</v>
      </c>
      <c r="C20" s="14" t="s">
        <v>100</v>
      </c>
      <c r="D20" s="14" t="s">
        <v>42</v>
      </c>
      <c r="E20" s="14" t="s">
        <v>43</v>
      </c>
      <c r="F20" s="15" t="n">
        <v>6</v>
      </c>
      <c r="G20" s="15" t="n">
        <v>11</v>
      </c>
      <c r="H20" s="16" t="n">
        <f aca="false">WORKDAY.INTL(Dashboard!$B$3,F20,"0000001")</f>
        <v>46326</v>
      </c>
      <c r="I20" s="16" t="n">
        <f aca="false">WORKDAY.INTL(Dashboard!$B$3,G20,"0000001")</f>
        <v>46332</v>
      </c>
      <c r="J20" s="14" t="s">
        <v>96</v>
      </c>
      <c r="K20" s="14" t="s">
        <v>51</v>
      </c>
      <c r="L20" s="15" t="s">
        <v>18</v>
      </c>
      <c r="M20" s="14" t="s">
        <v>101</v>
      </c>
    </row>
    <row r="21" customFormat="false" ht="15" hidden="false" customHeight="true" outlineLevel="0" collapsed="false">
      <c r="A21" s="14" t="s">
        <v>102</v>
      </c>
      <c r="B21" s="14" t="s">
        <v>93</v>
      </c>
      <c r="C21" s="14" t="s">
        <v>103</v>
      </c>
      <c r="D21" s="14" t="s">
        <v>42</v>
      </c>
      <c r="E21" s="14" t="s">
        <v>43</v>
      </c>
      <c r="F21" s="15" t="n">
        <v>6</v>
      </c>
      <c r="G21" s="15" t="n">
        <v>11</v>
      </c>
      <c r="H21" s="16" t="n">
        <f aca="false">WORKDAY.INTL(Dashboard!$B$3,F21,"0000001")</f>
        <v>46326</v>
      </c>
      <c r="I21" s="16" t="n">
        <f aca="false">WORKDAY.INTL(Dashboard!$B$3,G21,"0000001")</f>
        <v>46332</v>
      </c>
      <c r="J21" s="14" t="s">
        <v>56</v>
      </c>
      <c r="K21" s="14" t="s">
        <v>51</v>
      </c>
      <c r="L21" s="15" t="s">
        <v>18</v>
      </c>
      <c r="M21" s="14" t="s">
        <v>104</v>
      </c>
    </row>
    <row r="22" customFormat="false" ht="15" hidden="false" customHeight="true" outlineLevel="0" collapsed="false">
      <c r="A22" s="14" t="s">
        <v>105</v>
      </c>
      <c r="B22" s="14" t="s">
        <v>93</v>
      </c>
      <c r="C22" s="14" t="s">
        <v>106</v>
      </c>
      <c r="D22" s="14" t="s">
        <v>42</v>
      </c>
      <c r="E22" s="14" t="s">
        <v>43</v>
      </c>
      <c r="F22" s="15" t="n">
        <v>6</v>
      </c>
      <c r="G22" s="15" t="n">
        <v>10</v>
      </c>
      <c r="H22" s="16" t="n">
        <f aca="false">WORKDAY.INTL(Dashboard!$B$3,F22,"0000001")</f>
        <v>46326</v>
      </c>
      <c r="I22" s="16" t="n">
        <f aca="false">WORKDAY.INTL(Dashboard!$B$3,G22,"0000001")</f>
        <v>46331</v>
      </c>
      <c r="J22" s="14" t="s">
        <v>92</v>
      </c>
      <c r="K22" s="14" t="s">
        <v>51</v>
      </c>
      <c r="L22" s="15" t="s">
        <v>18</v>
      </c>
      <c r="M22" s="14"/>
    </row>
    <row r="23" customFormat="false" ht="15" hidden="false" customHeight="true" outlineLevel="0" collapsed="false">
      <c r="A23" s="14" t="s">
        <v>107</v>
      </c>
      <c r="B23" s="14" t="s">
        <v>93</v>
      </c>
      <c r="C23" s="14" t="s">
        <v>108</v>
      </c>
      <c r="D23" s="14" t="s">
        <v>42</v>
      </c>
      <c r="E23" s="14" t="s">
        <v>43</v>
      </c>
      <c r="F23" s="15" t="n">
        <v>8</v>
      </c>
      <c r="G23" s="15" t="n">
        <v>12</v>
      </c>
      <c r="H23" s="16" t="n">
        <f aca="false">WORKDAY.INTL(Dashboard!$B$3,F23,"0000001")</f>
        <v>46329</v>
      </c>
      <c r="I23" s="16" t="n">
        <f aca="false">WORKDAY.INTL(Dashboard!$B$3,G23,"0000001")</f>
        <v>46333</v>
      </c>
      <c r="J23" s="14" t="s">
        <v>53</v>
      </c>
      <c r="K23" s="14" t="s">
        <v>51</v>
      </c>
      <c r="L23" s="15" t="s">
        <v>18</v>
      </c>
      <c r="M23" s="14"/>
    </row>
    <row r="24" customFormat="false" ht="15" hidden="false" customHeight="true" outlineLevel="0" collapsed="false">
      <c r="A24" s="14" t="s">
        <v>109</v>
      </c>
      <c r="B24" s="14" t="s">
        <v>93</v>
      </c>
      <c r="C24" s="14" t="s">
        <v>110</v>
      </c>
      <c r="D24" s="14" t="s">
        <v>69</v>
      </c>
      <c r="E24" s="14" t="s">
        <v>43</v>
      </c>
      <c r="F24" s="15" t="n">
        <v>12</v>
      </c>
      <c r="G24" s="15" t="n">
        <v>14</v>
      </c>
      <c r="H24" s="16" t="n">
        <f aca="false">WORKDAY.INTL(Dashboard!$B$3,F24,"0000001")</f>
        <v>46333</v>
      </c>
      <c r="I24" s="16" t="n">
        <f aca="false">WORKDAY.INTL(Dashboard!$B$3,G24,"0000001")</f>
        <v>46336</v>
      </c>
      <c r="J24" s="14" t="s">
        <v>105</v>
      </c>
      <c r="K24" s="14" t="s">
        <v>44</v>
      </c>
      <c r="L24" s="15" t="s">
        <v>18</v>
      </c>
      <c r="M24" s="14" t="s">
        <v>111</v>
      </c>
    </row>
    <row r="25" customFormat="false" ht="15" hidden="false" customHeight="true" outlineLevel="0" collapsed="false">
      <c r="A25" s="14" t="s">
        <v>112</v>
      </c>
      <c r="B25" s="14" t="s">
        <v>113</v>
      </c>
      <c r="C25" s="14" t="s">
        <v>114</v>
      </c>
      <c r="D25" s="14" t="s">
        <v>115</v>
      </c>
      <c r="E25" s="14" t="s">
        <v>43</v>
      </c>
      <c r="F25" s="15" t="n">
        <v>7</v>
      </c>
      <c r="G25" s="15" t="n">
        <v>8</v>
      </c>
      <c r="H25" s="16" t="n">
        <f aca="false">WORKDAY.INTL(Dashboard!$B$3,F25,"0000001")</f>
        <v>46328</v>
      </c>
      <c r="I25" s="16" t="n">
        <f aca="false">WORKDAY.INTL(Dashboard!$B$3,G25,"0000001")</f>
        <v>46329</v>
      </c>
      <c r="J25" s="14" t="s">
        <v>107</v>
      </c>
      <c r="K25" s="14" t="s">
        <v>51</v>
      </c>
      <c r="L25" s="15" t="s">
        <v>18</v>
      </c>
      <c r="M25" s="14" t="s">
        <v>116</v>
      </c>
    </row>
    <row r="26" customFormat="false" ht="15" hidden="false" customHeight="true" outlineLevel="0" collapsed="false">
      <c r="A26" s="14" t="s">
        <v>117</v>
      </c>
      <c r="B26" s="14" t="s">
        <v>113</v>
      </c>
      <c r="C26" s="14" t="s">
        <v>118</v>
      </c>
      <c r="D26" s="14" t="s">
        <v>115</v>
      </c>
      <c r="E26" s="14" t="s">
        <v>43</v>
      </c>
      <c r="F26" s="15" t="n">
        <v>8</v>
      </c>
      <c r="G26" s="15" t="n">
        <v>12</v>
      </c>
      <c r="H26" s="16" t="n">
        <f aca="false">WORKDAY.INTL(Dashboard!$B$3,F26,"0000001")</f>
        <v>46329</v>
      </c>
      <c r="I26" s="16" t="n">
        <f aca="false">WORKDAY.INTL(Dashboard!$B$3,G26,"0000001")</f>
        <v>46333</v>
      </c>
      <c r="J26" s="14" t="s">
        <v>105</v>
      </c>
      <c r="K26" s="14" t="s">
        <v>51</v>
      </c>
      <c r="L26" s="15" t="s">
        <v>18</v>
      </c>
      <c r="M26" s="14"/>
    </row>
    <row r="27" customFormat="false" ht="15" hidden="false" customHeight="true" outlineLevel="0" collapsed="false">
      <c r="A27" s="14" t="s">
        <v>119</v>
      </c>
      <c r="B27" s="14" t="s">
        <v>113</v>
      </c>
      <c r="C27" s="14" t="s">
        <v>120</v>
      </c>
      <c r="D27" s="14" t="s">
        <v>115</v>
      </c>
      <c r="E27" s="14" t="s">
        <v>43</v>
      </c>
      <c r="F27" s="15" t="n">
        <v>10</v>
      </c>
      <c r="G27" s="15" t="n">
        <v>13</v>
      </c>
      <c r="H27" s="16" t="n">
        <f aca="false">WORKDAY.INTL(Dashboard!$B$3,F27,"0000001")</f>
        <v>46331</v>
      </c>
      <c r="I27" s="16" t="n">
        <f aca="false">WORKDAY.INTL(Dashboard!$B$3,G27,"0000001")</f>
        <v>46335</v>
      </c>
      <c r="J27" s="14" t="s">
        <v>112</v>
      </c>
      <c r="K27" s="14" t="s">
        <v>51</v>
      </c>
      <c r="L27" s="15" t="s">
        <v>18</v>
      </c>
      <c r="M27" s="14" t="s">
        <v>121</v>
      </c>
    </row>
    <row r="28" customFormat="false" ht="15" hidden="false" customHeight="true" outlineLevel="0" collapsed="false">
      <c r="A28" s="14" t="s">
        <v>122</v>
      </c>
      <c r="B28" s="14" t="s">
        <v>113</v>
      </c>
      <c r="C28" s="14" t="s">
        <v>123</v>
      </c>
      <c r="D28" s="14" t="s">
        <v>115</v>
      </c>
      <c r="E28" s="14" t="s">
        <v>43</v>
      </c>
      <c r="F28" s="15" t="n">
        <v>10</v>
      </c>
      <c r="G28" s="15" t="n">
        <v>14</v>
      </c>
      <c r="H28" s="16" t="n">
        <f aca="false">WORKDAY.INTL(Dashboard!$B$3,F28,"0000001")</f>
        <v>46331</v>
      </c>
      <c r="I28" s="16" t="n">
        <f aca="false">WORKDAY.INTL(Dashboard!$B$3,G28,"0000001")</f>
        <v>46336</v>
      </c>
      <c r="J28" s="14" t="s">
        <v>112</v>
      </c>
      <c r="K28" s="14" t="s">
        <v>51</v>
      </c>
      <c r="L28" s="15" t="s">
        <v>18</v>
      </c>
      <c r="M28" s="14"/>
    </row>
    <row r="29" customFormat="false" ht="15" hidden="false" customHeight="true" outlineLevel="0" collapsed="false">
      <c r="A29" s="14" t="s">
        <v>124</v>
      </c>
      <c r="B29" s="14" t="s">
        <v>113</v>
      </c>
      <c r="C29" s="14" t="s">
        <v>125</v>
      </c>
      <c r="D29" s="14" t="s">
        <v>115</v>
      </c>
      <c r="E29" s="14" t="s">
        <v>43</v>
      </c>
      <c r="F29" s="15" t="n">
        <v>11</v>
      </c>
      <c r="G29" s="15" t="n">
        <v>14</v>
      </c>
      <c r="H29" s="16" t="n">
        <f aca="false">WORKDAY.INTL(Dashboard!$B$3,F29,"0000001")</f>
        <v>46332</v>
      </c>
      <c r="I29" s="16" t="n">
        <f aca="false">WORKDAY.INTL(Dashboard!$B$3,G29,"0000001")</f>
        <v>46336</v>
      </c>
      <c r="J29" s="14" t="s">
        <v>112</v>
      </c>
      <c r="K29" s="14" t="s">
        <v>51</v>
      </c>
      <c r="L29" s="15" t="s">
        <v>18</v>
      </c>
      <c r="M29" s="14"/>
    </row>
    <row r="30" customFormat="false" ht="15" hidden="false" customHeight="true" outlineLevel="0" collapsed="false">
      <c r="A30" s="14" t="s">
        <v>126</v>
      </c>
      <c r="B30" s="14" t="s">
        <v>113</v>
      </c>
      <c r="C30" s="14" t="s">
        <v>127</v>
      </c>
      <c r="D30" s="14" t="s">
        <v>115</v>
      </c>
      <c r="E30" s="14" t="s">
        <v>43</v>
      </c>
      <c r="F30" s="15" t="n">
        <v>9</v>
      </c>
      <c r="G30" s="15" t="n">
        <v>13</v>
      </c>
      <c r="H30" s="16" t="n">
        <f aca="false">WORKDAY.INTL(Dashboard!$B$3,F30,"0000001")</f>
        <v>46330</v>
      </c>
      <c r="I30" s="16" t="n">
        <f aca="false">WORKDAY.INTL(Dashboard!$B$3,G30,"0000001")</f>
        <v>46335</v>
      </c>
      <c r="J30" s="14" t="s">
        <v>105</v>
      </c>
      <c r="K30" s="14" t="s">
        <v>51</v>
      </c>
      <c r="L30" s="15" t="s">
        <v>18</v>
      </c>
      <c r="M30" s="14" t="s">
        <v>128</v>
      </c>
    </row>
    <row r="31" customFormat="false" ht="15" hidden="false" customHeight="true" outlineLevel="0" collapsed="false">
      <c r="A31" s="14" t="s">
        <v>129</v>
      </c>
      <c r="B31" s="14" t="s">
        <v>113</v>
      </c>
      <c r="C31" s="14" t="s">
        <v>130</v>
      </c>
      <c r="D31" s="14" t="s">
        <v>115</v>
      </c>
      <c r="E31" s="14" t="s">
        <v>43</v>
      </c>
      <c r="F31" s="15" t="n">
        <v>12</v>
      </c>
      <c r="G31" s="15" t="n">
        <v>14</v>
      </c>
      <c r="H31" s="16" t="n">
        <f aca="false">WORKDAY.INTL(Dashboard!$B$3,F31,"0000001")</f>
        <v>46333</v>
      </c>
      <c r="I31" s="16" t="n">
        <f aca="false">WORKDAY.INTL(Dashboard!$B$3,G31,"0000001")</f>
        <v>46336</v>
      </c>
      <c r="J31" s="14" t="s">
        <v>117</v>
      </c>
      <c r="K31" s="14" t="s">
        <v>51</v>
      </c>
      <c r="L31" s="15" t="s">
        <v>18</v>
      </c>
      <c r="M31" s="14"/>
    </row>
    <row r="32" customFormat="false" ht="15" hidden="false" customHeight="true" outlineLevel="0" collapsed="false">
      <c r="A32" s="14" t="s">
        <v>131</v>
      </c>
      <c r="B32" s="14" t="s">
        <v>113</v>
      </c>
      <c r="C32" s="14" t="s">
        <v>132</v>
      </c>
      <c r="D32" s="14" t="s">
        <v>115</v>
      </c>
      <c r="E32" s="14" t="s">
        <v>43</v>
      </c>
      <c r="F32" s="15" t="n">
        <v>13</v>
      </c>
      <c r="G32" s="15" t="n">
        <v>14</v>
      </c>
      <c r="H32" s="16" t="n">
        <f aca="false">WORKDAY.INTL(Dashboard!$B$3,F32,"0000001")</f>
        <v>46335</v>
      </c>
      <c r="I32" s="16" t="n">
        <f aca="false">WORKDAY.INTL(Dashboard!$B$3,G32,"0000001")</f>
        <v>46336</v>
      </c>
      <c r="J32" s="14" t="s">
        <v>126</v>
      </c>
      <c r="K32" s="14" t="s">
        <v>51</v>
      </c>
      <c r="L32" s="15" t="s">
        <v>18</v>
      </c>
      <c r="M32" s="14"/>
    </row>
    <row r="33" customFormat="false" ht="15" hidden="false" customHeight="true" outlineLevel="0" collapsed="false">
      <c r="A33" s="14" t="s">
        <v>133</v>
      </c>
      <c r="B33" s="14" t="s">
        <v>134</v>
      </c>
      <c r="C33" s="14" t="s">
        <v>135</v>
      </c>
      <c r="D33" s="14" t="s">
        <v>136</v>
      </c>
      <c r="E33" s="14" t="s">
        <v>43</v>
      </c>
      <c r="F33" s="15" t="n">
        <v>0</v>
      </c>
      <c r="G33" s="15" t="n">
        <v>7</v>
      </c>
      <c r="H33" s="16" t="n">
        <f aca="false">WORKDAY.INTL(Dashboard!$B$3,F33,"0000001")</f>
        <v>46319</v>
      </c>
      <c r="I33" s="16" t="n">
        <f aca="false">WORKDAY.INTL(Dashboard!$B$3,G33,"0000001")</f>
        <v>46328</v>
      </c>
      <c r="J33" s="14"/>
      <c r="K33" s="14" t="s">
        <v>44</v>
      </c>
      <c r="L33" s="15" t="s">
        <v>18</v>
      </c>
      <c r="M33" s="14" t="s">
        <v>137</v>
      </c>
    </row>
    <row r="34" customFormat="false" ht="15" hidden="false" customHeight="true" outlineLevel="0" collapsed="false">
      <c r="A34" s="14" t="s">
        <v>138</v>
      </c>
      <c r="B34" s="14" t="s">
        <v>134</v>
      </c>
      <c r="C34" s="14" t="s">
        <v>139</v>
      </c>
      <c r="D34" s="14" t="s">
        <v>69</v>
      </c>
      <c r="E34" s="14" t="s">
        <v>43</v>
      </c>
      <c r="F34" s="15" t="n">
        <v>0</v>
      </c>
      <c r="G34" s="15" t="n">
        <v>3</v>
      </c>
      <c r="H34" s="16" t="n">
        <f aca="false">WORKDAY.INTL(Dashboard!$B$3,F34,"0000001")</f>
        <v>46319</v>
      </c>
      <c r="I34" s="16" t="n">
        <f aca="false">WORKDAY.INTL(Dashboard!$B$3,G34,"0000001")</f>
        <v>46323</v>
      </c>
      <c r="J34" s="14"/>
      <c r="K34" s="14" t="s">
        <v>44</v>
      </c>
      <c r="L34" s="15" t="s">
        <v>18</v>
      </c>
      <c r="M34" s="14" t="s">
        <v>140</v>
      </c>
    </row>
    <row r="35" customFormat="false" ht="15" hidden="false" customHeight="true" outlineLevel="0" collapsed="false">
      <c r="A35" s="14" t="s">
        <v>141</v>
      </c>
      <c r="B35" s="14" t="s">
        <v>134</v>
      </c>
      <c r="C35" s="14" t="s">
        <v>142</v>
      </c>
      <c r="D35" s="14" t="s">
        <v>136</v>
      </c>
      <c r="E35" s="14" t="s">
        <v>43</v>
      </c>
      <c r="F35" s="15" t="n">
        <v>7</v>
      </c>
      <c r="G35" s="15" t="n">
        <v>21</v>
      </c>
      <c r="H35" s="16" t="n">
        <f aca="false">WORKDAY.INTL(Dashboard!$B$3,F35,"0000001")</f>
        <v>46328</v>
      </c>
      <c r="I35" s="16" t="n">
        <f aca="false">WORKDAY.INTL(Dashboard!$B$3,G35,"0000001")</f>
        <v>46344</v>
      </c>
      <c r="J35" s="14" t="s">
        <v>133</v>
      </c>
      <c r="K35" s="14" t="s">
        <v>51</v>
      </c>
      <c r="L35" s="15" t="s">
        <v>18</v>
      </c>
      <c r="M35" s="14" t="s">
        <v>143</v>
      </c>
    </row>
    <row r="36" customFormat="false" ht="15" hidden="false" customHeight="true" outlineLevel="0" collapsed="false">
      <c r="A36" s="14" t="s">
        <v>144</v>
      </c>
      <c r="B36" s="14" t="s">
        <v>134</v>
      </c>
      <c r="C36" s="14" t="s">
        <v>145</v>
      </c>
      <c r="D36" s="14" t="s">
        <v>69</v>
      </c>
      <c r="E36" s="14" t="s">
        <v>43</v>
      </c>
      <c r="F36" s="15" t="n">
        <v>21</v>
      </c>
      <c r="G36" s="15" t="n">
        <v>23</v>
      </c>
      <c r="H36" s="16" t="n">
        <f aca="false">WORKDAY.INTL(Dashboard!$B$3,F36,"0000001")</f>
        <v>46344</v>
      </c>
      <c r="I36" s="16" t="n">
        <f aca="false">WORKDAY.INTL(Dashboard!$B$3,G36,"0000001")</f>
        <v>46346</v>
      </c>
      <c r="J36" s="14" t="s">
        <v>141</v>
      </c>
      <c r="K36" s="14" t="s">
        <v>44</v>
      </c>
      <c r="L36" s="15" t="s">
        <v>18</v>
      </c>
      <c r="M36" s="14"/>
    </row>
    <row r="37" customFormat="false" ht="15" hidden="false" customHeight="true" outlineLevel="0" collapsed="false">
      <c r="A37" s="14" t="s">
        <v>146</v>
      </c>
      <c r="B37" s="14" t="s">
        <v>147</v>
      </c>
      <c r="C37" s="14" t="s">
        <v>148</v>
      </c>
      <c r="D37" s="14" t="s">
        <v>69</v>
      </c>
      <c r="E37" s="14" t="s">
        <v>43</v>
      </c>
      <c r="F37" s="15" t="n">
        <v>22</v>
      </c>
      <c r="G37" s="15" t="n">
        <v>24</v>
      </c>
      <c r="H37" s="16" t="n">
        <f aca="false">WORKDAY.INTL(Dashboard!$B$3,F37,"0000001")</f>
        <v>46345</v>
      </c>
      <c r="I37" s="16" t="n">
        <f aca="false">WORKDAY.INTL(Dashboard!$B$3,G37,"0000001")</f>
        <v>46347</v>
      </c>
      <c r="J37" s="14" t="s">
        <v>129</v>
      </c>
      <c r="K37" s="14" t="s">
        <v>44</v>
      </c>
      <c r="L37" s="15" t="s">
        <v>18</v>
      </c>
      <c r="M37" s="14"/>
    </row>
    <row r="38" customFormat="false" ht="15" hidden="false" customHeight="true" outlineLevel="0" collapsed="false">
      <c r="A38" s="14" t="s">
        <v>149</v>
      </c>
      <c r="B38" s="14" t="s">
        <v>147</v>
      </c>
      <c r="C38" s="14" t="s">
        <v>150</v>
      </c>
      <c r="D38" s="14" t="s">
        <v>115</v>
      </c>
      <c r="E38" s="14" t="s">
        <v>43</v>
      </c>
      <c r="F38" s="15" t="n">
        <v>24</v>
      </c>
      <c r="G38" s="15" t="n">
        <v>26</v>
      </c>
      <c r="H38" s="16" t="n">
        <f aca="false">WORKDAY.INTL(Dashboard!$B$3,F38,"0000001")</f>
        <v>46347</v>
      </c>
      <c r="I38" s="16" t="n">
        <f aca="false">WORKDAY.INTL(Dashboard!$B$3,G38,"0000001")</f>
        <v>46350</v>
      </c>
      <c r="J38" s="14" t="s">
        <v>146</v>
      </c>
      <c r="K38" s="14" t="s">
        <v>51</v>
      </c>
      <c r="L38" s="15" t="s">
        <v>18</v>
      </c>
      <c r="M38" s="14"/>
    </row>
    <row r="39" customFormat="false" ht="15" hidden="false" customHeight="true" outlineLevel="0" collapsed="false">
      <c r="A39" s="14" t="s">
        <v>151</v>
      </c>
      <c r="B39" s="14" t="s">
        <v>147</v>
      </c>
      <c r="C39" s="14" t="s">
        <v>152</v>
      </c>
      <c r="D39" s="14" t="s">
        <v>64</v>
      </c>
      <c r="E39" s="14" t="s">
        <v>43</v>
      </c>
      <c r="F39" s="15" t="n">
        <v>22</v>
      </c>
      <c r="G39" s="15" t="n">
        <v>26</v>
      </c>
      <c r="H39" s="16" t="n">
        <f aca="false">WORKDAY.INTL(Dashboard!$B$3,F39,"0000001")</f>
        <v>46345</v>
      </c>
      <c r="I39" s="16" t="n">
        <f aca="false">WORKDAY.INTL(Dashboard!$B$3,G39,"0000001")</f>
        <v>46350</v>
      </c>
      <c r="J39" s="14"/>
      <c r="K39" s="14" t="s">
        <v>51</v>
      </c>
      <c r="L39" s="15" t="s">
        <v>18</v>
      </c>
      <c r="M39" s="14" t="s">
        <v>153</v>
      </c>
    </row>
    <row r="40" customFormat="false" ht="15" hidden="false" customHeight="true" outlineLevel="0" collapsed="false">
      <c r="A40" s="14" t="s">
        <v>154</v>
      </c>
      <c r="B40" s="14" t="s">
        <v>147</v>
      </c>
      <c r="C40" s="14" t="s">
        <v>155</v>
      </c>
      <c r="D40" s="14" t="s">
        <v>115</v>
      </c>
      <c r="E40" s="14" t="s">
        <v>43</v>
      </c>
      <c r="F40" s="15" t="n">
        <v>26</v>
      </c>
      <c r="G40" s="15" t="n">
        <v>27</v>
      </c>
      <c r="H40" s="16" t="n">
        <f aca="false">WORKDAY.INTL(Dashboard!$B$3,F40,"0000001")</f>
        <v>46350</v>
      </c>
      <c r="I40" s="16" t="n">
        <f aca="false">WORKDAY.INTL(Dashboard!$B$3,G40,"0000001")</f>
        <v>46351</v>
      </c>
      <c r="J40" s="14" t="s">
        <v>149</v>
      </c>
      <c r="K40" s="14" t="s">
        <v>51</v>
      </c>
      <c r="L40" s="15" t="s">
        <v>18</v>
      </c>
      <c r="M40" s="14"/>
    </row>
    <row r="41" customFormat="false" ht="15" hidden="false" customHeight="true" outlineLevel="0" collapsed="false">
      <c r="A41" s="14" t="s">
        <v>156</v>
      </c>
      <c r="B41" s="14" t="s">
        <v>147</v>
      </c>
      <c r="C41" s="14" t="s">
        <v>157</v>
      </c>
      <c r="D41" s="14" t="s">
        <v>64</v>
      </c>
      <c r="E41" s="14" t="s">
        <v>43</v>
      </c>
      <c r="F41" s="15" t="n">
        <v>27</v>
      </c>
      <c r="G41" s="15" t="n">
        <v>28</v>
      </c>
      <c r="H41" s="16" t="n">
        <f aca="false">WORKDAY.INTL(Dashboard!$B$3,F41,"0000001")</f>
        <v>46351</v>
      </c>
      <c r="I41" s="16" t="n">
        <f aca="false">WORKDAY.INTL(Dashboard!$B$3,G41,"0000001")</f>
        <v>46352</v>
      </c>
      <c r="J41" s="14" t="s">
        <v>154</v>
      </c>
      <c r="K41" s="14" t="s">
        <v>51</v>
      </c>
      <c r="L41" s="15" t="s">
        <v>18</v>
      </c>
      <c r="M41" s="14" t="s">
        <v>158</v>
      </c>
    </row>
  </sheetData>
  <autoFilter ref="A1:M41"/>
  <conditionalFormatting sqref="L2:L80">
    <cfRule type="cellIs" priority="2" operator="equal" aboveAverage="0" equalAverage="0" bottom="0" percent="0" rank="0" text="" dxfId="4">
      <formula>"Done"</formula>
    </cfRule>
    <cfRule type="cellIs" priority="3" operator="equal" aboveAverage="0" equalAverage="0" bottom="0" percent="0" rank="0" text="" dxfId="5">
      <formula>"Blocked"</formula>
    </cfRule>
  </conditionalFormatting>
  <dataValidations count="1">
    <dataValidation allowBlank="true" errorStyle="stop" operator="between" showDropDown="false" showErrorMessage="false" showInputMessage="false" sqref="L2:L80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55"/>
    <col collapsed="false" customWidth="true" hidden="false" outlineLevel="0" max="6" min="6" style="1" width="14"/>
    <col collapsed="false" customWidth="true" hidden="false" outlineLevel="0" max="7" min="7" style="1" width="55"/>
  </cols>
  <sheetData>
    <row r="1" customFormat="false" ht="15" hidden="false" customHeight="true" outlineLevel="0" collapsed="false">
      <c r="A1" s="13" t="s">
        <v>159</v>
      </c>
      <c r="B1" s="13" t="s">
        <v>160</v>
      </c>
      <c r="C1" s="13" t="s">
        <v>161</v>
      </c>
      <c r="D1" s="13" t="s">
        <v>31</v>
      </c>
      <c r="E1" s="13" t="s">
        <v>162</v>
      </c>
      <c r="F1" s="13" t="s">
        <v>16</v>
      </c>
      <c r="G1" s="13" t="s">
        <v>38</v>
      </c>
    </row>
    <row r="2" customFormat="false" ht="15" hidden="false" customHeight="true" outlineLevel="0" collapsed="false">
      <c r="A2" s="14" t="s">
        <v>163</v>
      </c>
      <c r="B2" s="14" t="s">
        <v>164</v>
      </c>
      <c r="C2" s="14" t="s">
        <v>165</v>
      </c>
      <c r="D2" s="14" t="s">
        <v>166</v>
      </c>
      <c r="E2" s="14" t="s">
        <v>167</v>
      </c>
      <c r="F2" s="14" t="s">
        <v>18</v>
      </c>
      <c r="G2" s="14" t="s">
        <v>168</v>
      </c>
    </row>
    <row r="3" customFormat="false" ht="15" hidden="false" customHeight="true" outlineLevel="0" collapsed="false">
      <c r="A3" s="14" t="s">
        <v>169</v>
      </c>
      <c r="B3" s="14" t="s">
        <v>170</v>
      </c>
      <c r="C3" s="14" t="s">
        <v>171</v>
      </c>
      <c r="D3" s="14" t="s">
        <v>166</v>
      </c>
      <c r="E3" s="14" t="s">
        <v>172</v>
      </c>
      <c r="F3" s="14" t="s">
        <v>18</v>
      </c>
      <c r="G3" s="14" t="s">
        <v>173</v>
      </c>
    </row>
    <row r="4" customFormat="false" ht="15" hidden="false" customHeight="true" outlineLevel="0" collapsed="false">
      <c r="A4" s="14" t="s">
        <v>174</v>
      </c>
      <c r="B4" s="14" t="s">
        <v>175</v>
      </c>
      <c r="C4" s="14" t="s">
        <v>171</v>
      </c>
      <c r="D4" s="14" t="s">
        <v>176</v>
      </c>
      <c r="E4" s="14" t="s">
        <v>177</v>
      </c>
      <c r="F4" s="14" t="s">
        <v>18</v>
      </c>
      <c r="G4" s="14" t="s">
        <v>178</v>
      </c>
    </row>
    <row r="5" customFormat="false" ht="23.25" hidden="false" customHeight="true" outlineLevel="0" collapsed="false">
      <c r="A5" s="14" t="s">
        <v>179</v>
      </c>
      <c r="B5" s="14" t="s">
        <v>180</v>
      </c>
      <c r="C5" s="14" t="s">
        <v>181</v>
      </c>
      <c r="D5" s="14" t="s">
        <v>166</v>
      </c>
      <c r="E5" s="14" t="s">
        <v>182</v>
      </c>
      <c r="F5" s="14" t="s">
        <v>18</v>
      </c>
      <c r="G5" s="14" t="s">
        <v>183</v>
      </c>
    </row>
    <row r="6" customFormat="false" ht="15" hidden="false" customHeight="true" outlineLevel="0" collapsed="false">
      <c r="A6" s="14" t="s">
        <v>184</v>
      </c>
      <c r="B6" s="14" t="s">
        <v>185</v>
      </c>
      <c r="C6" s="14" t="s">
        <v>181</v>
      </c>
      <c r="D6" s="14" t="s">
        <v>176</v>
      </c>
      <c r="E6" s="14" t="s">
        <v>186</v>
      </c>
      <c r="F6" s="14" t="s">
        <v>18</v>
      </c>
      <c r="G6" s="14" t="s">
        <v>187</v>
      </c>
    </row>
    <row r="7" customFormat="false" ht="15" hidden="false" customHeight="true" outlineLevel="0" collapsed="false">
      <c r="A7" s="14" t="s">
        <v>188</v>
      </c>
      <c r="B7" s="14" t="s">
        <v>189</v>
      </c>
      <c r="C7" s="14" t="s">
        <v>190</v>
      </c>
      <c r="D7" s="14" t="s">
        <v>166</v>
      </c>
      <c r="E7" s="14" t="s">
        <v>191</v>
      </c>
      <c r="F7" s="14" t="s">
        <v>18</v>
      </c>
      <c r="G7" s="14" t="s">
        <v>192</v>
      </c>
    </row>
    <row r="8" customFormat="false" ht="15" hidden="false" customHeight="true" outlineLevel="0" collapsed="false">
      <c r="A8" s="14" t="s">
        <v>193</v>
      </c>
      <c r="B8" s="14" t="s">
        <v>194</v>
      </c>
      <c r="C8" s="14" t="s">
        <v>190</v>
      </c>
      <c r="D8" s="14" t="s">
        <v>166</v>
      </c>
      <c r="E8" s="14" t="s">
        <v>195</v>
      </c>
      <c r="F8" s="14" t="s">
        <v>18</v>
      </c>
      <c r="G8" s="14"/>
    </row>
    <row r="9" customFormat="false" ht="15" hidden="false" customHeight="true" outlineLevel="0" collapsed="false">
      <c r="A9" s="14" t="s">
        <v>196</v>
      </c>
      <c r="B9" s="14" t="s">
        <v>197</v>
      </c>
      <c r="C9" s="14" t="s">
        <v>190</v>
      </c>
      <c r="D9" s="14" t="s">
        <v>166</v>
      </c>
      <c r="E9" s="14" t="s">
        <v>198</v>
      </c>
      <c r="F9" s="14" t="s">
        <v>18</v>
      </c>
      <c r="G9" s="14" t="s">
        <v>199</v>
      </c>
    </row>
    <row r="10" customFormat="false" ht="15" hidden="false" customHeight="true" outlineLevel="0" collapsed="false">
      <c r="A10" s="14" t="s">
        <v>200</v>
      </c>
      <c r="B10" s="14" t="s">
        <v>201</v>
      </c>
      <c r="C10" s="14" t="s">
        <v>181</v>
      </c>
      <c r="D10" s="14" t="s">
        <v>202</v>
      </c>
      <c r="E10" s="14" t="s">
        <v>203</v>
      </c>
      <c r="F10" s="14" t="s">
        <v>18</v>
      </c>
      <c r="G10" s="14" t="s">
        <v>204</v>
      </c>
    </row>
    <row r="11" customFormat="false" ht="15" hidden="false" customHeight="true" outlineLevel="0" collapsed="false">
      <c r="A11" s="14" t="s">
        <v>205</v>
      </c>
      <c r="B11" s="14" t="s">
        <v>206</v>
      </c>
      <c r="C11" s="14" t="s">
        <v>207</v>
      </c>
      <c r="D11" s="14" t="s">
        <v>166</v>
      </c>
      <c r="E11" s="14" t="s">
        <v>208</v>
      </c>
      <c r="F11" s="14" t="s">
        <v>18</v>
      </c>
      <c r="G11" s="14" t="s">
        <v>209</v>
      </c>
    </row>
    <row r="12" customFormat="false" ht="15" hidden="false" customHeight="true" outlineLevel="0" collapsed="false">
      <c r="A12" s="14" t="s">
        <v>210</v>
      </c>
      <c r="B12" s="14" t="s">
        <v>211</v>
      </c>
      <c r="C12" s="14" t="s">
        <v>181</v>
      </c>
      <c r="D12" s="14" t="s">
        <v>176</v>
      </c>
      <c r="E12" s="14" t="s">
        <v>212</v>
      </c>
      <c r="F12" s="14" t="s">
        <v>18</v>
      </c>
      <c r="G12" s="14" t="s">
        <v>213</v>
      </c>
    </row>
    <row r="13" customFormat="false" ht="15" hidden="false" customHeight="true" outlineLevel="0" collapsed="false">
      <c r="A13" s="14" t="s">
        <v>214</v>
      </c>
      <c r="B13" s="14" t="s">
        <v>215</v>
      </c>
      <c r="C13" s="14" t="s">
        <v>207</v>
      </c>
      <c r="D13" s="14" t="s">
        <v>166</v>
      </c>
      <c r="E13" s="14" t="s">
        <v>216</v>
      </c>
      <c r="F13" s="14" t="s">
        <v>18</v>
      </c>
      <c r="G13" s="14" t="s">
        <v>217</v>
      </c>
    </row>
    <row r="14" customFormat="false" ht="15" hidden="false" customHeight="true" outlineLevel="0" collapsed="false">
      <c r="A14" s="14" t="s">
        <v>218</v>
      </c>
      <c r="B14" s="14" t="s">
        <v>219</v>
      </c>
      <c r="C14" s="14" t="s">
        <v>207</v>
      </c>
      <c r="D14" s="14" t="s">
        <v>202</v>
      </c>
      <c r="E14" s="14" t="s">
        <v>220</v>
      </c>
      <c r="F14" s="14" t="s">
        <v>18</v>
      </c>
      <c r="G14" s="14" t="s">
        <v>221</v>
      </c>
    </row>
    <row r="15" customFormat="false" ht="15" hidden="false" customHeight="true" outlineLevel="0" collapsed="false">
      <c r="A15" s="14" t="s">
        <v>222</v>
      </c>
      <c r="B15" s="14" t="s">
        <v>223</v>
      </c>
      <c r="C15" s="14" t="s">
        <v>207</v>
      </c>
      <c r="D15" s="14" t="s">
        <v>202</v>
      </c>
      <c r="E15" s="14" t="s">
        <v>224</v>
      </c>
      <c r="F15" s="14" t="s">
        <v>18</v>
      </c>
      <c r="G15" s="14" t="s">
        <v>225</v>
      </c>
    </row>
    <row r="16" customFormat="false" ht="15" hidden="false" customHeight="true" outlineLevel="0" collapsed="false">
      <c r="A16" s="14" t="s">
        <v>226</v>
      </c>
      <c r="B16" s="14" t="s">
        <v>227</v>
      </c>
      <c r="C16" s="14" t="s">
        <v>207</v>
      </c>
      <c r="D16" s="14" t="s">
        <v>228</v>
      </c>
      <c r="E16" s="14" t="s">
        <v>229</v>
      </c>
      <c r="F16" s="14" t="s">
        <v>18</v>
      </c>
      <c r="G16" s="14" t="s">
        <v>230</v>
      </c>
    </row>
    <row r="17" customFormat="false" ht="15" hidden="false" customHeight="true" outlineLevel="0" collapsed="false">
      <c r="A17" s="14" t="s">
        <v>231</v>
      </c>
      <c r="B17" s="14" t="s">
        <v>232</v>
      </c>
      <c r="C17" s="14" t="s">
        <v>171</v>
      </c>
      <c r="D17" s="14" t="s">
        <v>228</v>
      </c>
      <c r="E17" s="14" t="s">
        <v>233</v>
      </c>
      <c r="F17" s="14" t="s">
        <v>18</v>
      </c>
      <c r="G17" s="14" t="s">
        <v>234</v>
      </c>
    </row>
  </sheetData>
  <dataValidations count="1">
    <dataValidation allowBlank="true" errorStyle="stop" operator="between" showDropDown="false" showErrorMessage="false" showInputMessage="false" sqref="F2:F17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5"/>
    <col collapsed="false" customWidth="true" hidden="false" outlineLevel="0" max="3" min="3" style="1" width="40"/>
    <col collapsed="false" customWidth="true" hidden="false" outlineLevel="0" max="6" min="4" style="1" width="14"/>
    <col collapsed="false" customWidth="true" hidden="false" outlineLevel="0" max="7" min="7" style="1" width="50"/>
  </cols>
  <sheetData>
    <row r="1" customFormat="false" ht="26.25" hidden="false" customHeight="true" outlineLevel="0" collapsed="false">
      <c r="A1" s="13" t="s">
        <v>235</v>
      </c>
      <c r="B1" s="13" t="s">
        <v>236</v>
      </c>
      <c r="C1" s="13" t="s">
        <v>237</v>
      </c>
      <c r="D1" s="13" t="s">
        <v>238</v>
      </c>
      <c r="E1" s="13" t="s">
        <v>16</v>
      </c>
      <c r="F1" s="13" t="s">
        <v>239</v>
      </c>
      <c r="G1" s="13" t="s">
        <v>38</v>
      </c>
    </row>
    <row r="2" customFormat="false" ht="15" hidden="false" customHeight="true" outlineLevel="0" collapsed="false">
      <c r="A2" s="14" t="n">
        <v>1</v>
      </c>
      <c r="B2" s="14" t="s">
        <v>240</v>
      </c>
      <c r="C2" s="14" t="s">
        <v>241</v>
      </c>
      <c r="D2" s="14" t="s">
        <v>42</v>
      </c>
      <c r="E2" s="15" t="s">
        <v>18</v>
      </c>
      <c r="F2" s="15"/>
      <c r="G2" s="14"/>
    </row>
    <row r="3" customFormat="false" ht="15" hidden="false" customHeight="true" outlineLevel="0" collapsed="false">
      <c r="A3" s="14" t="n">
        <v>2</v>
      </c>
      <c r="B3" s="14" t="s">
        <v>242</v>
      </c>
      <c r="C3" s="14" t="s">
        <v>243</v>
      </c>
      <c r="D3" s="14" t="s">
        <v>42</v>
      </c>
      <c r="E3" s="15" t="s">
        <v>18</v>
      </c>
      <c r="F3" s="15"/>
      <c r="G3" s="14" t="s">
        <v>244</v>
      </c>
    </row>
    <row r="4" customFormat="false" ht="15" hidden="false" customHeight="true" outlineLevel="0" collapsed="false">
      <c r="A4" s="14" t="n">
        <v>3</v>
      </c>
      <c r="B4" s="14" t="s">
        <v>245</v>
      </c>
      <c r="C4" s="14" t="s">
        <v>246</v>
      </c>
      <c r="D4" s="14" t="s">
        <v>64</v>
      </c>
      <c r="E4" s="15" t="s">
        <v>18</v>
      </c>
      <c r="F4" s="15"/>
      <c r="G4" s="14" t="s">
        <v>247</v>
      </c>
    </row>
    <row r="5" customFormat="false" ht="15" hidden="false" customHeight="true" outlineLevel="0" collapsed="false">
      <c r="A5" s="14" t="n">
        <v>4</v>
      </c>
      <c r="B5" s="14" t="s">
        <v>248</v>
      </c>
      <c r="C5" s="14" t="s">
        <v>249</v>
      </c>
      <c r="D5" s="14" t="s">
        <v>64</v>
      </c>
      <c r="E5" s="15" t="s">
        <v>18</v>
      </c>
      <c r="F5" s="15"/>
      <c r="G5" s="14" t="s">
        <v>250</v>
      </c>
    </row>
    <row r="6" customFormat="false" ht="15" hidden="false" customHeight="true" outlineLevel="0" collapsed="false">
      <c r="A6" s="14" t="n">
        <v>5</v>
      </c>
      <c r="B6" s="14" t="s">
        <v>251</v>
      </c>
      <c r="C6" s="14" t="s">
        <v>252</v>
      </c>
      <c r="D6" s="14" t="s">
        <v>64</v>
      </c>
      <c r="E6" s="15" t="s">
        <v>18</v>
      </c>
      <c r="F6" s="15"/>
      <c r="G6" s="14" t="s">
        <v>253</v>
      </c>
    </row>
    <row r="7" customFormat="false" ht="15" hidden="false" customHeight="true" outlineLevel="0" collapsed="false">
      <c r="A7" s="14" t="n">
        <v>6</v>
      </c>
      <c r="B7" s="14" t="s">
        <v>254</v>
      </c>
      <c r="C7" s="14" t="s">
        <v>255</v>
      </c>
      <c r="D7" s="14" t="s">
        <v>42</v>
      </c>
      <c r="E7" s="15" t="s">
        <v>18</v>
      </c>
      <c r="F7" s="15"/>
      <c r="G7" s="14" t="s">
        <v>256</v>
      </c>
    </row>
    <row r="8" customFormat="false" ht="15" hidden="false" customHeight="true" outlineLevel="0" collapsed="false">
      <c r="A8" s="14" t="n">
        <v>7</v>
      </c>
      <c r="B8" s="14" t="s">
        <v>257</v>
      </c>
      <c r="C8" s="14" t="s">
        <v>258</v>
      </c>
      <c r="D8" s="14" t="s">
        <v>42</v>
      </c>
      <c r="E8" s="15" t="s">
        <v>18</v>
      </c>
      <c r="F8" s="15"/>
      <c r="G8" s="14" t="s">
        <v>259</v>
      </c>
    </row>
    <row r="9" customFormat="false" ht="15" hidden="false" customHeight="true" outlineLevel="0" collapsed="false">
      <c r="A9" s="14" t="n">
        <v>8</v>
      </c>
      <c r="B9" s="14" t="s">
        <v>260</v>
      </c>
      <c r="C9" s="14" t="s">
        <v>261</v>
      </c>
      <c r="D9" s="14" t="s">
        <v>64</v>
      </c>
      <c r="E9" s="15" t="s">
        <v>18</v>
      </c>
      <c r="F9" s="15"/>
      <c r="G9" s="14" t="s">
        <v>262</v>
      </c>
    </row>
    <row r="10" customFormat="false" ht="15" hidden="false" customHeight="true" outlineLevel="0" collapsed="false">
      <c r="A10" s="14" t="n">
        <v>9</v>
      </c>
      <c r="B10" s="14" t="s">
        <v>263</v>
      </c>
      <c r="C10" s="14" t="s">
        <v>264</v>
      </c>
      <c r="D10" s="14" t="s">
        <v>64</v>
      </c>
      <c r="E10" s="15" t="s">
        <v>18</v>
      </c>
      <c r="F10" s="15"/>
      <c r="G10" s="14"/>
    </row>
    <row r="11" customFormat="false" ht="23.25" hidden="false" customHeight="true" outlineLevel="0" collapsed="false">
      <c r="A11" s="14" t="n">
        <v>10</v>
      </c>
      <c r="B11" s="14" t="s">
        <v>265</v>
      </c>
      <c r="C11" s="14" t="s">
        <v>266</v>
      </c>
      <c r="D11" s="14" t="s">
        <v>42</v>
      </c>
      <c r="E11" s="15" t="s">
        <v>18</v>
      </c>
      <c r="F11" s="15"/>
      <c r="G11" s="14" t="s">
        <v>267</v>
      </c>
    </row>
  </sheetData>
  <dataValidations count="1">
    <dataValidation allowBlank="true" errorStyle="stop" operator="between" showDropDown="false" showErrorMessage="false" showInputMessage="false" sqref="E2:E11" type="list">
      <formula1>"Not started,Requested,Received,Overdue"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45"/>
    <col collapsed="false" customWidth="true" hidden="false" outlineLevel="0" max="3" min="3" style="1" width="24"/>
    <col collapsed="false" customWidth="true" hidden="false" outlineLevel="0" max="4" min="4" style="1" width="50"/>
  </cols>
  <sheetData>
    <row r="1" customFormat="false" ht="15" hidden="false" customHeight="true" outlineLevel="0" collapsed="false">
      <c r="A1" s="13" t="s">
        <v>268</v>
      </c>
      <c r="B1" s="13" t="s">
        <v>269</v>
      </c>
      <c r="C1" s="13" t="s">
        <v>16</v>
      </c>
      <c r="D1" s="13" t="s">
        <v>270</v>
      </c>
    </row>
    <row r="2" customFormat="false" ht="23.25" hidden="false" customHeight="true" outlineLevel="0" collapsed="false">
      <c r="A2" s="14" t="s">
        <v>271</v>
      </c>
      <c r="B2" s="14" t="s">
        <v>272</v>
      </c>
      <c r="C2" s="15" t="s">
        <v>273</v>
      </c>
      <c r="D2" s="14" t="s">
        <v>274</v>
      </c>
    </row>
    <row r="3" customFormat="false" ht="15" hidden="false" customHeight="true" outlineLevel="0" collapsed="false">
      <c r="A3" s="14" t="s">
        <v>275</v>
      </c>
      <c r="B3" s="14" t="s">
        <v>276</v>
      </c>
      <c r="C3" s="15" t="s">
        <v>273</v>
      </c>
      <c r="D3" s="14" t="s">
        <v>277</v>
      </c>
    </row>
    <row r="4" customFormat="false" ht="23.25" hidden="false" customHeight="true" outlineLevel="0" collapsed="false">
      <c r="A4" s="14" t="s">
        <v>278</v>
      </c>
      <c r="B4" s="14" t="s">
        <v>279</v>
      </c>
      <c r="C4" s="15" t="s">
        <v>280</v>
      </c>
      <c r="D4" s="14" t="s">
        <v>281</v>
      </c>
    </row>
    <row r="5" customFormat="false" ht="15" hidden="false" customHeight="true" outlineLevel="0" collapsed="false">
      <c r="A5" s="14" t="s">
        <v>282</v>
      </c>
      <c r="B5" s="14" t="s">
        <v>276</v>
      </c>
      <c r="C5" s="15" t="s">
        <v>283</v>
      </c>
      <c r="D5" s="14" t="s">
        <v>284</v>
      </c>
    </row>
    <row r="6" customFormat="false" ht="15" hidden="false" customHeight="true" outlineLevel="0" collapsed="false">
      <c r="A6" s="14" t="s">
        <v>285</v>
      </c>
      <c r="B6" s="14" t="s">
        <v>272</v>
      </c>
      <c r="C6" s="15" t="s">
        <v>273</v>
      </c>
      <c r="D6" s="14" t="s">
        <v>286</v>
      </c>
    </row>
    <row r="7" customFormat="false" ht="15" hidden="false" customHeight="true" outlineLevel="0" collapsed="false">
      <c r="A7" s="14" t="s">
        <v>287</v>
      </c>
      <c r="B7" s="14" t="s">
        <v>272</v>
      </c>
      <c r="C7" s="15" t="s">
        <v>273</v>
      </c>
      <c r="D7" s="14" t="s">
        <v>288</v>
      </c>
    </row>
    <row r="8" customFormat="false" ht="15" hidden="false" customHeight="true" outlineLevel="0" collapsed="false">
      <c r="A8" s="14" t="s">
        <v>289</v>
      </c>
      <c r="B8" s="14" t="s">
        <v>272</v>
      </c>
      <c r="C8" s="15" t="s">
        <v>290</v>
      </c>
      <c r="D8" s="14" t="s">
        <v>291</v>
      </c>
    </row>
    <row r="9" customFormat="false" ht="15" hidden="false" customHeight="true" outlineLevel="0" collapsed="false">
      <c r="A9" s="14" t="s">
        <v>292</v>
      </c>
      <c r="B9" s="14" t="s">
        <v>272</v>
      </c>
      <c r="C9" s="15" t="s">
        <v>273</v>
      </c>
      <c r="D9" s="14" t="s">
        <v>293</v>
      </c>
    </row>
    <row r="10" customFormat="false" ht="15" hidden="false" customHeight="true" outlineLevel="0" collapsed="false">
      <c r="A10" s="14" t="s">
        <v>294</v>
      </c>
      <c r="B10" s="14" t="s">
        <v>295</v>
      </c>
      <c r="C10" s="15" t="s">
        <v>296</v>
      </c>
      <c r="D10" s="14" t="s">
        <v>297</v>
      </c>
    </row>
    <row r="11" customFormat="false" ht="15" hidden="false" customHeight="true" outlineLevel="0" collapsed="false">
      <c r="A11" s="14" t="s">
        <v>298</v>
      </c>
      <c r="B11" s="14" t="s">
        <v>272</v>
      </c>
      <c r="C11" s="15" t="s">
        <v>296</v>
      </c>
      <c r="D11" s="14" t="s">
        <v>299</v>
      </c>
    </row>
    <row r="12" customFormat="false" ht="15" hidden="false" customHeight="true" outlineLevel="0" collapsed="false">
      <c r="A12" s="14" t="s">
        <v>300</v>
      </c>
      <c r="B12" s="14" t="s">
        <v>301</v>
      </c>
      <c r="C12" s="15" t="s">
        <v>302</v>
      </c>
      <c r="D12" s="14" t="s">
        <v>303</v>
      </c>
    </row>
    <row r="13" customFormat="false" ht="15" hidden="false" customHeight="true" outlineLevel="0" collapsed="false">
      <c r="A13" s="14" t="s">
        <v>304</v>
      </c>
      <c r="B13" s="14" t="s">
        <v>305</v>
      </c>
      <c r="C13" s="15" t="s">
        <v>306</v>
      </c>
      <c r="D13" s="14" t="s">
        <v>307</v>
      </c>
    </row>
    <row r="14" customFormat="false" ht="15" hidden="false" customHeight="true" outlineLevel="0" collapsed="false">
      <c r="A14" s="14" t="s">
        <v>308</v>
      </c>
      <c r="B14" s="14" t="s">
        <v>309</v>
      </c>
      <c r="C14" s="15" t="s">
        <v>234</v>
      </c>
      <c r="D14" s="14" t="s">
        <v>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2026-10-23T10:02:15Z</dcterms:created>
  <dc:creator>openpyxl</dc:creator>
  <dc:description/>
  <dc:language>en-US</dc:language>
  <cp:lastModifiedBy/>
  <dcterms:modified xsi:type="dcterms:W3CDTF">2026-10-23T10:02:42Z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