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README" state="visible" r:id="rId4"/>
    <sheet sheetId="2" name="Dashboard" state="visible" r:id="rId5"/>
    <sheet sheetId="3" name="Tracker" state="visible" r:id="rId6"/>
    <sheet sheetId="4" name="Sitemap" state="visible" r:id="rId7"/>
    <sheet sheetId="5" name="Client Inputs" state="visible" r:id="rId8"/>
    <sheet sheetId="6" name="Claims" state="visible" r:id="rId9"/>
  </sheets>
  <definedNames>
    <definedName name="_xlnm._FilterDatabase">Tracker!$A$1:$M$41</definedName>
  </definedNames>
  <calcPr calcId="171027"/>
</workbook>
</file>

<file path=xl/sharedStrings.xml><?xml version="1.0" encoding="utf-8"?>
<sst xmlns="http://schemas.openxmlformats.org/spreadsheetml/2006/main" count="624" uniqueCount="326">
  <si>
    <t>Moya One website: project tracker</t>
  </si>
  <si>
    <t>Hand this to the developer. Everything she needs to plan and report is in these tabs.</t>
  </si>
  <si>
    <t>How to use</t>
  </si>
  <si>
    <t>1. Dashboard: enter the kickoff date in the yellow cell. All task dates recalculate from it.</t>
  </si>
  <si>
    <t>2. Tracker: one row per task. Update Status (dropdown) and Notes. Do not change IDs.</t>
  </si>
  <si>
    <t>4. Client Inputs: everything we are waiting on from Omar. Chase these first.</t>
  </si>
  <si>
    <t>5. Claims: every factual claim for the site, and whether it can be published yet.</t>
  </si>
  <si>
    <t>Colour key</t>
  </si>
  <si>
    <t>Design audit: after every change, the developer runs the taste and impeccable skills and fixes anything that looks vibe-coded. Record "Audit: pass" in Notes. See CLAUDE.md.</t>
  </si>
  <si>
    <t>Yellow cell = editable input. Black text = formula, do not overwrite.</t>
  </si>
  <si>
    <t>Status values</t>
  </si>
  <si>
    <t>Not started, In progress, Blocked, Done. Mark Blocked and add the reason in Notes.</t>
  </si>
  <si>
    <t>Kickoff date is Sat 24 Oct 2026. Change it if the agreement is signed later. Change it when the agreement is signed.</t>
  </si>
  <si>
    <t>Day numbers are working days (Mon to Sat, Sunday off). Timeline: 4 weeks total (3 build, 1 test), per the call on 2026-10-22. Video is included in that window and is flagged as a risk.</t>
  </si>
  <si>
    <t>Moya One: dashboard</t>
  </si>
  <si>
    <t>Kickoff date (edit)</t>
  </si>
  <si>
    <t>Status</t>
  </si>
  <si>
    <t>Tasks</t>
  </si>
  <si>
    <t>Not started</t>
  </si>
  <si>
    <t>In progress</t>
  </si>
  <si>
    <t>Blocked</t>
  </si>
  <si>
    <t>Done</t>
  </si>
  <si>
    <t>Total tasks</t>
  </si>
  <si>
    <t>Percent done</t>
  </si>
  <si>
    <t>Overdue (end date passed, not Done)</t>
  </si>
  <si>
    <t>Tasks waiting on client</t>
  </si>
  <si>
    <t>Project end date (last task)</t>
  </si>
  <si>
    <t>ID</t>
  </si>
  <si>
    <t>Workstream</t>
  </si>
  <si>
    <t>Task</t>
  </si>
  <si>
    <t>Owner</t>
  </si>
  <si>
    <t>Priority</t>
  </si>
  <si>
    <t>Start (working day)</t>
  </si>
  <si>
    <t>End (working day)</t>
  </si>
  <si>
    <t>Start date</t>
  </si>
  <si>
    <t>End date</t>
  </si>
  <si>
    <t>Depends on</t>
  </si>
  <si>
    <t>Needs client input</t>
  </si>
  <si>
    <t>Notes</t>
  </si>
  <si>
    <t>B1</t>
  </si>
  <si>
    <t>Brand</t>
  </si>
  <si>
    <t>Collect logo variations (4 to 5) from client's team</t>
  </si>
  <si>
    <t>Vinayak</t>
  </si>
  <si>
    <t>Must</t>
  </si>
  <si>
    <t>Yes</t>
  </si>
  <si>
    <t>Client said the logo team will send 4 to 5 options</t>
  </si>
  <si>
    <t>B2</t>
  </si>
  <si>
    <t>Collect client's colour and logo preferences</t>
  </si>
  <si>
    <t>Client has no brand guidelines yet</t>
  </si>
  <si>
    <t>B3</t>
  </si>
  <si>
    <t>Lock palette (base, orange, yellow highlight, ink, grey, water blue)</t>
  </si>
  <si>
    <t>No</t>
  </si>
  <si>
    <t>Chosen by Vinayak. See DESIGN.md</t>
  </si>
  <si>
    <t>B4</t>
  </si>
  <si>
    <t>Lock typography and heading scale</t>
  </si>
  <si>
    <t>Build from DESIGN.md type scale</t>
  </si>
  <si>
    <t>B5</t>
  </si>
  <si>
    <t>Lock iconography set (one line weight, one style)</t>
  </si>
  <si>
    <t>Phosphor icons used in current build</t>
  </si>
  <si>
    <t>B6</t>
  </si>
  <si>
    <t>Show 2 luxury-and-convenience direction options to Rayansh</t>
  </si>
  <si>
    <t>Rayansh signs off before design work continues</t>
  </si>
  <si>
    <t>B7</t>
  </si>
  <si>
    <t>Confirm patent wording: 'patent filed', not 'patented'</t>
  </si>
  <si>
    <t>Rayansh</t>
  </si>
  <si>
    <t>Client said 'patented' but later said filed and not examined</t>
  </si>
  <si>
    <t>C1</t>
  </si>
  <si>
    <t>Content</t>
  </si>
  <si>
    <t>Receive presentation PDFs and product details</t>
  </si>
  <si>
    <t>Omar (client)</t>
  </si>
  <si>
    <t>Promised by end of day 19 Oct. Chase</t>
  </si>
  <si>
    <t>C2</t>
  </si>
  <si>
    <t>Receive 'How we work' document (water flow, filter stages)</t>
  </si>
  <si>
    <t>Client will share. Use only what is claimable</t>
  </si>
  <si>
    <t>C3</t>
  </si>
  <si>
    <t>Verify zero water wastage and 3LD claims with client's technical team</t>
  </si>
  <si>
    <t>Do not publish until verified. See Claims tab</t>
  </si>
  <si>
    <t>C4</t>
  </si>
  <si>
    <t>Product facts sheet: what can be said and how it is sourced</t>
  </si>
  <si>
    <t>C5</t>
  </si>
  <si>
    <t>Write home page copy (consumer first)</t>
  </si>
  <si>
    <t>Headline: 'Get rid of the hassle.'</t>
  </si>
  <si>
    <t>C6</t>
  </si>
  <si>
    <t>Write builders page copy</t>
  </si>
  <si>
    <t>C7</t>
  </si>
  <si>
    <t>Write comparison page copy (bottles, RO filters)</t>
  </si>
  <si>
    <t>Qualitative claims only until C3 is done</t>
  </si>
  <si>
    <t>C8</t>
  </si>
  <si>
    <t>Write environment page copy</t>
  </si>
  <si>
    <t>C9</t>
  </si>
  <si>
    <t>Write contact and footer copy; replace placeholder email</t>
  </si>
  <si>
    <t>Client to confirm the contact address</t>
  </si>
  <si>
    <t>D1</t>
  </si>
  <si>
    <t>Design</t>
  </si>
  <si>
    <t>Moodboard: luxury and convenience reference set (5 to 8 sites)</t>
  </si>
  <si>
    <t>Avoid templates and generic SaaS look</t>
  </si>
  <si>
    <t>D2</t>
  </si>
  <si>
    <t>Bottle illustration: 20-litre jug (wide body, short neck)</t>
  </si>
  <si>
    <t>Replaces the battery-shaped drawing | 23 Oct (Harshita): Standalone 20-litre jug SVG drawn to CLAUDE.md proportions (public/illustrations/jug.svg). Send to Vinayak on WhatsApp for sign-off before reuse.</t>
  </si>
  <si>
    <t>D3</t>
  </si>
  <si>
    <t>Hero scene: stick figure and branded dustbin</t>
  </si>
  <si>
    <t>Cap generic, dustbin Moya One branded | 23 Oct (Harshita): Vinayak approved the 3D kitchen hero (marble, walnut, two taps, Moya1™ unit, phone recharge film). It replaces the stick figure and dustbin concept. DD3 closed.</t>
  </si>
  <si>
    <t>D4</t>
  </si>
  <si>
    <t>Basement and control room illustration (isometric, basic, no tech detail)</t>
  </si>
  <si>
    <t>Client wants more machinery; keep it evocative, not a schematic | 23 Oct (Harshita): Vinayak asked for realistic machinery, valves and real piping. Built in lib/three/plantRoom.js: storage tanks with sight glasses, two pump sets, gate and lever valves with handwheels, gauges, delivery header to the riser, control cabinet, cable trays. No labels or part names (non-negotiable 7). Send 390/1440 screenshots to Vinayak.</t>
  </si>
  <si>
    <t>D5</t>
  </si>
  <si>
    <t>Key screens: desktop and 390px mobile for home and builders</t>
  </si>
  <si>
    <t>D6</t>
  </si>
  <si>
    <t>Component library: buttons, headings, cards, tables, nav</t>
  </si>
  <si>
    <t>D7</t>
  </si>
  <si>
    <t>Client sign-off on design</t>
  </si>
  <si>
    <t>Also needs Rayansh sign-off first</t>
  </si>
  <si>
    <t>E1</t>
  </si>
  <si>
    <t>Build</t>
  </si>
  <si>
    <t>Project setup: framework, GSAP, Lenis, fonts, icons</t>
  </si>
  <si>
    <t>Harshita</t>
  </si>
  <si>
    <t>Next.js, Nuxt or Vite. Developer's choice; justify it in README | 23 Oct (Harshita): Next.js (App Router, JavaScript), GSAP + ScrollTrigger, Phosphor Regular, three.js, fonts self-hosted via next/font. Lenis not used: it broke programmatic and anchor scrolling in testing (DESIGN.md §7 allows it only if native scroll is unaffected). Initial JS about 175KB gzip vs 100KB target (Next.js + React runtime is about 160KB). | 24 Oct (Harshita): Header now lists the 8 Must pages in build order: Home, How it works, Builders, Compare (menu: hub, Bottled water, RO filters), Environment, and Contact as the header button; the phone menu and footer list all 8. Compare hub, both comparisons, Environment and Contact show marked holding pages (PLACEHOLDER, not indexed) until each is built in order. All 8 routes return 200. Audit: Impeccable detect 0 findings; Taste lint 0 FAIL.</t>
  </si>
  <si>
    <t>E2</t>
  </si>
  <si>
    <t>Build home page (consumer first, builders teaser)</t>
  </si>
  <si>
    <t>23 Oct (Harshita): Home built and approved hero in place; Moya1™ added; unconfirmed product lines marked PLACEHOLDER (see Claims).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 | 24 Oct (Harshita): Per feedback, the start-to-end story is now a full-bleed, full-screen opening like the film (words on the left as captions, drawing filling the screen, 1-6 row):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</si>
  <si>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E3</t>
  </si>
  <si>
    <t>Build builders page (with embedded MP4 video)</t>
  </si>
  <si>
    <t>Video is an MP4 file, not a coded animation | 23 Oct (Harshita): Builders page built (/b2b/builders): dark hero with a 3D tower that builds itself floor by floor as the line rises (new construct mode), ledger of what it asks of a project beside the 3D kitchen close-up, explainer film slot, reference projects, enquiry close. Not done: the brief requires the MP4 to play on mobile and the approved cut does not exist yet (F3, F4); the slot lazy-loads it once BUILDER_VIDEO.src is set in lib/content.js. Reference projects are placeholders marked "To confirm" (no names). "No retrofit", "No lost space" and "its own plant room" marked PLACEHOLDER (Claims: To confirm). Enquiry goes to the placeholder email until /contact exists.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</si>
  <si>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E4</t>
  </si>
  <si>
    <t>Build comparison hub and comparison pages</t>
  </si>
  <si>
    <t>E5</t>
  </si>
  <si>
    <t>Build environment, technology and contact pages</t>
  </si>
  <si>
    <t>E6</t>
  </si>
  <si>
    <t>Build interactions: recharge demo, app panel, how it works</t>
  </si>
  <si>
    <t>Keep numbers labelled 'sample' | 23 Oct (Harshita): Home: sample recharge demo, 3D kitchen film, tower climb with floor counter (Illustrative). How it works: scroll-driven 3D journey (tower, then kitchen). | 23 Oct (Harshita): Builders: tower construct mode (floors build in order, line follows, kitchens light). | 24 Oct (Harshita): How it works now opens with a start-to-end story: one drawing that plays six steps in order (builder plans it in, line laid to every flat, kitchen fitted, then you recharge, pour, top up), with the steps listed beside it; Pause/Play, tap any step; phones show the picture, the current step and a 1-6 row. Film and Try it follow. All drawings labelled Illustrative; no numbers, no prices, no tech detail; no filter claim kept as PLACEHOLDER. Checked 390px and 1440px (no horizontal scroll), reduced motion (starts paused, finished pictures). Audit: Impeccable detect 0 findings; Taste lint 0 FAIL; inspector FAILs are the documented exceptions (few-pictures: SVG/3D only per CLAUDE.md; drop title sits on a solid ink panel over the film). Fixed: class clash with the home hero, mobile layout, font sizes to tokens. | 24 Oct (Harshita): Per feedback, the start-to-end story is now the full-screen opening: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 | 24 Oct (Harshita): Per feedback, the start-to-end story is now a full-bleed, full-screen opening like the film (words on the left as captions, drawing filling the screen, 1-6 row): the view is pinned and scrolling moves through the six steps one by one (picture changes, step highlights, progress bar fills); tapping a step scrolls to it. Checked 390px and 1440px, no horizontal scroll, all six steps reached by scroll. Audit: Impeccable detect 0; Taste lint 0 FAIL; inspector 1 FAIL = documented few-pictures exception (SVG/3D only per CLAUDE.md). Fixed: mobile h1 size.</t>
  </si>
  <si>
    <t>E7</t>
  </si>
  <si>
    <t>Responsive QA at 390px and 1440px; no horizontal scroll</t>
  </si>
  <si>
    <t>23 Oct (Harshita): Home and How it works checked at 390px and 1440px: no horizontal scroll.</t>
  </si>
  <si>
    <t>E8</t>
  </si>
  <si>
    <t>Reduced-motion check and performance (Lighthouse mobile 85+)</t>
  </si>
  <si>
    <t>23 Oct (Harshita): Reduced motion checked on Home and How it works: final states shown, no hidden text. Lighthouse mobile not run yet.</t>
  </si>
  <si>
    <t>F1</t>
  </si>
  <si>
    <t>Video</t>
  </si>
  <si>
    <t>Video script and storyboard (building, pipe, kitchen unit, basement)</t>
  </si>
  <si>
    <t>Rayansh's team</t>
  </si>
  <si>
    <t>Scope split between video and website still open.</t>
  </si>
  <si>
    <t>F2</t>
  </si>
  <si>
    <t>Receive client's reference animation</t>
  </si>
  <si>
    <t>Promised by end of day 22 Oct</t>
  </si>
  <si>
    <t>F3</t>
  </si>
  <si>
    <t>Produce MP4 explainer (16:9, plus 9:16 cut for social)</t>
  </si>
  <si>
    <t>Biggest timeline risk. Confirm before kickoff</t>
  </si>
  <si>
    <t>F4</t>
  </si>
  <si>
    <t>Approve video cut with client</t>
  </si>
  <si>
    <t>H1</t>
  </si>
  <si>
    <t>Launch</t>
  </si>
  <si>
    <t>Client review round 1 on full site</t>
  </si>
  <si>
    <t>H2</t>
  </si>
  <si>
    <t>Fix review round 1 feedback</t>
  </si>
  <si>
    <t>H3</t>
  </si>
  <si>
    <t>Hosting set up (client hosting or Socialsect server)</t>
  </si>
  <si>
    <t>Client has no hosting yet</t>
  </si>
  <si>
    <t>H4</t>
  </si>
  <si>
    <t>Point domain DNS, go live, check SSL</t>
  </si>
  <si>
    <t>H5</t>
  </si>
  <si>
    <t>Hand over repo and domain ownership to client</t>
  </si>
  <si>
    <t>Domain must be in client's name</t>
  </si>
  <si>
    <t>Page</t>
  </si>
  <si>
    <t>URL (proposed)</t>
  </si>
  <si>
    <t>Audience</t>
  </si>
  <si>
    <t>Purpose</t>
  </si>
  <si>
    <t>Home</t>
  </si>
  <si>
    <t>/</t>
  </si>
  <si>
    <t>Consumer, then builder</t>
  </si>
  <si>
    <t>Phase 1 Must</t>
  </si>
  <si>
    <t>Hero hook, convenience, quality, teaser for builders</t>
  </si>
  <si>
    <t>Consumer sections first; builder sections later on the same page | 23 Oct (Harshita): Built. Hero approved by Vinayak.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</si>
  <si>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How it works (consumer)</t>
  </si>
  <si>
    <t>/b2c/how-it-works</t>
  </si>
  <si>
    <t>Consumer</t>
  </si>
  <si>
    <t>Recharge, control unit in your kitchen, the flow</t>
  </si>
  <si>
    <t>Interactive recharge demo lives here or on home | 23 Oct (Harshita): Built: five-step scroll journey with one sticky 3D stage (plant room, riser, control unit, app recharge, pour). Main action "check water quality" points to the home recharge demo until /b2c/water-quality exists (PLACEHOLDER). Awaiting Vinayak review. Audit: not a full pass yet. Impeccable detect 0 findings; Taste lint 0 FAIL (1 WARN: Inter flagged as a default face, pinned by DESIGN.md). Taste inspect leaves 2 FAILs as documented exceptions for Vinayak: few-pictures (CLAUDE.md requires SVG/3D and bans stock imagery) and covered-text (sticky 3D stage on phones; floating WhatsApp button).</t>
  </si>
  <si>
    <t>Water quality</t>
  </si>
  <si>
    <t>/b2c/water-quality</t>
  </si>
  <si>
    <t>Phase 1 Should</t>
  </si>
  <si>
    <t>Per-flat readings: TDS, pH, alkalinity, dissolved solids</t>
  </si>
  <si>
    <t>Sample data only until client confirms parameters</t>
  </si>
  <si>
    <t>Builders</t>
  </si>
  <si>
    <t>/b2b/builders</t>
  </si>
  <si>
    <t>Builder</t>
  </si>
  <si>
    <t>Installed at construction stage, no retrofit, space saved; embedded MP4</t>
  </si>
  <si>
    <t>Overview only, no technology detail | 23 Oct (Harshita): Built, awaiting Vinayak review. Blocked on the MP4 explainer for "done"; references are "To confirm" placeholders. Audit: not a full pass yet. Impeccable detect 0 findings; Taste lint 0 FAIL (1 WARN: Inter, pinned by DESIGN.md). Taste inspect leaves 2 FAILs as documented exceptions for Vinayak: few-pictures (CLAUDE.md requires SVG/3D, no stock imagery) and covered-text (floating WhatsApp button at 390px). 390px and 1440px: no horizontal scroll. Reduced motion: final state, no hidden text.</t>
  </si>
  <si>
    <t>Installation</t>
  </si>
  <si>
    <t>/b2b/installation</t>
  </si>
  <si>
    <t>Cellar control room, pipe to each flat, what the builder provides</t>
  </si>
  <si>
    <t>Keep basic; no schematics</t>
  </si>
  <si>
    <t>Compare (hub)</t>
  </si>
  <si>
    <t>/compare</t>
  </si>
  <si>
    <t>Consumer and builder</t>
  </si>
  <si>
    <t>Moya One vs bottled water vs RO filters</t>
  </si>
  <si>
    <t>Qualitative labels only</t>
  </si>
  <si>
    <t>Compare: bottled water</t>
  </si>
  <si>
    <t>/compare/bottled-water</t>
  </si>
  <si>
    <t>Bottle routine vs one pipe</t>
  </si>
  <si>
    <t>Compare: RO filters</t>
  </si>
  <si>
    <t>/compare/ro-filters</t>
  </si>
  <si>
    <t>RO wastage and maintenance vs Moya One</t>
  </si>
  <si>
    <t>Do not state a wastage figure until verified</t>
  </si>
  <si>
    <t>Technology (overview)</t>
  </si>
  <si>
    <t>/technology</t>
  </si>
  <si>
    <t>Phase 1 Stretch</t>
  </si>
  <si>
    <t>Overview of the system, patent filed, no technical depth</t>
  </si>
  <si>
    <t>Wording per Claims tab</t>
  </si>
  <si>
    <t>Environment</t>
  </si>
  <si>
    <t>/environment</t>
  </si>
  <si>
    <t>Both</t>
  </si>
  <si>
    <t>Plastic, emissions, zero liquid discharge</t>
  </si>
  <si>
    <t>Client asked for this page</t>
  </si>
  <si>
    <t>How we work</t>
  </si>
  <si>
    <t>/how-we-work</t>
  </si>
  <si>
    <t>Process from installation to billing</t>
  </si>
  <si>
    <t>Use client's 'How we work' document once received</t>
  </si>
  <si>
    <t>Contact</t>
  </si>
  <si>
    <t>/contact</t>
  </si>
  <si>
    <t>Enquiry form, developer and consumer routes</t>
  </si>
  <si>
    <t>Form only, no login</t>
  </si>
  <si>
    <t>Compare: zero liquid discharge</t>
  </si>
  <si>
    <t>/compare/zero-liquid-discharge</t>
  </si>
  <si>
    <t>Water wastage angle, deeper comparison</t>
  </si>
  <si>
    <t>Blocked until zero-wastage claim is verified</t>
  </si>
  <si>
    <t>Compare: other comparisons (x6)</t>
  </si>
  <si>
    <t>/compare/...</t>
  </si>
  <si>
    <t>Further comparison pages Vinayak proposed</t>
  </si>
  <si>
    <t>Count against the 15-page scope. Confirm with Rayansh</t>
  </si>
  <si>
    <t>Insights / blog</t>
  </si>
  <si>
    <t>/insights</t>
  </si>
  <si>
    <t>Later</t>
  </si>
  <si>
    <t>Articles and videos</t>
  </si>
  <si>
    <t>Deferred by client until builder handover</t>
  </si>
  <si>
    <t>App and login</t>
  </si>
  <si>
    <t>/app</t>
  </si>
  <si>
    <t>Login with payment ID and OTP, payment history</t>
  </si>
  <si>
    <t>Not in phase 1</t>
  </si>
  <si>
    <t>#</t>
  </si>
  <si>
    <t>Item needed from Omar (client)</t>
  </si>
  <si>
    <t>Why it matters</t>
  </si>
  <si>
    <t>Requested by</t>
  </si>
  <si>
    <t>Received on</t>
  </si>
  <si>
    <t>Logo variations (4 to 5) from client's logo team</t>
  </si>
  <si>
    <t>Needed for home header and brand direction</t>
  </si>
  <si>
    <t>Colour and logo preferences</t>
  </si>
  <si>
    <t>Lets us check the palette against his taste</t>
  </si>
  <si>
    <t>Palette already chosen by Vinayak. Check fit, do not replace</t>
  </si>
  <si>
    <t>Presentation PDFs and product details</t>
  </si>
  <si>
    <t>Source for product facts and copy</t>
  </si>
  <si>
    <t>Promised 19 Oct</t>
  </si>
  <si>
    <t>'How we work' document (water flow, filter stages)</t>
  </si>
  <si>
    <t>Builders page and installation page copy</t>
  </si>
  <si>
    <t>Use only claimable parts</t>
  </si>
  <si>
    <t>Reference animation video</t>
  </si>
  <si>
    <t>Sets the style for the MP4 explainer</t>
  </si>
  <si>
    <t>Promised 22 Oct</t>
  </si>
  <si>
    <t>Zero water wastage and 3LD: technical confirmation</t>
  </si>
  <si>
    <t>Claims on comparison and environment pages</t>
  </si>
  <si>
    <t>Do not publish until confirmed</t>
  </si>
  <si>
    <t>Hyderabad community details and permission to name it</t>
  </si>
  <si>
    <t>Deployments strip</t>
  </si>
  <si>
    <t>Use placeholder until approved</t>
  </si>
  <si>
    <t>Final brand name: Moya One or Moya1</t>
  </si>
  <si>
    <t>Domain, logo, trademark</t>
  </si>
  <si>
    <t>Domain go-moya-one.com recommended</t>
  </si>
  <si>
    <t>Confirmation of domain spelling and purchase approval</t>
  </si>
  <si>
    <t>Domain purchase</t>
  </si>
  <si>
    <t>Monthly plan terms (minimum occupancy, guarantee) for builder pages</t>
  </si>
  <si>
    <t>Builders page content</t>
  </si>
  <si>
    <t>Not in phase 1 price list. Confirm if needed</t>
  </si>
  <si>
    <t>Claim</t>
  </si>
  <si>
    <t>Where it came from</t>
  </si>
  <si>
    <t>Action before publishing</t>
  </si>
  <si>
    <t>Zero water wastage (unlike RO, which wastes about as much as it delivers)</t>
  </si>
  <si>
    <t>Client, 19 Oct call</t>
  </si>
  <si>
    <t>To confirm</t>
  </si>
  <si>
    <t>Get written technical confirmation (C3)</t>
  </si>
  <si>
    <t>3LD (zero liquid discharge) technology</t>
  </si>
  <si>
    <t>Client, 22 Oct call</t>
  </si>
  <si>
    <t>Do not publish until verified</t>
  </si>
  <si>
    <t>Patented technology</t>
  </si>
  <si>
    <t>Client said 'patented' on 19 Oct, then 'filed, not yet examined' on 22 Oct</t>
  </si>
  <si>
    <t>Do not use as stated</t>
  </si>
  <si>
    <t>Use 'patent filed' until granted (B7)</t>
  </si>
  <si>
    <t>Moya1 control-unit trademark</t>
  </si>
  <si>
    <t>Filed, not registered</t>
  </si>
  <si>
    <t>Use the TM symbol only, not the registered mark</t>
  </si>
  <si>
    <t>Hyderabad community, about 300 apartments, being installed</t>
  </si>
  <si>
    <t>Placeholder until client approves naming</t>
  </si>
  <si>
    <t>Deployed in India</t>
  </si>
  <si>
    <t>Show India only, marked to confirm</t>
  </si>
  <si>
    <t>UAE talks with two developers</t>
  </si>
  <si>
    <t>Do not publish</t>
  </si>
  <si>
    <t>Do not name developers or show logos</t>
  </si>
  <si>
    <t>Unlimited water on subscription</t>
  </si>
  <si>
    <t>Confirm plan terms before saying 'unlimited'</t>
  </si>
  <si>
    <t>Recharge from phone, like a mobile top-up</t>
  </si>
  <si>
    <t>Client, 19 Oct call; headline concept</t>
  </si>
  <si>
    <t>OK as concept</t>
  </si>
  <si>
    <t>App is not built. Show as concept</t>
  </si>
  <si>
    <t>Per-flat water-quality readings in app</t>
  </si>
  <si>
    <t>Label all readings as sample data</t>
  </si>
  <si>
    <t>Best website in the world</t>
  </si>
  <si>
    <t>Rayansh on 22 Oct call</t>
  </si>
  <si>
    <t>Do not use</t>
  </si>
  <si>
    <t>Not a claim the site can make</t>
  </si>
  <si>
    <t>Minimum occupancy and minimum guarantee</t>
  </si>
  <si>
    <t>Vinayak, 19 Oct call</t>
  </si>
  <si>
    <t>Not confirmed</t>
  </si>
  <si>
    <t>Do not publish until client confirms terms</t>
  </si>
  <si>
    <t>Prices or rupee/dirham rates on site</t>
  </si>
  <si>
    <t>Earlier concept drafts</t>
  </si>
  <si>
    <t>Remove. Price terms are not public yet</t>
  </si>
  <si>
    <t>No retrofit; no lost space in the flat (builders)</t>
  </si>
  <si>
    <t>CLAUDE.md and CLIENT_CONTEXT.md</t>
  </si>
  <si>
    <t>Used on Home (builders section). Marked PLACEHOLDER in code. Rayansh to mark OK.</t>
  </si>
  <si>
    <t>No filters or servicing for residents</t>
  </si>
  <si>
    <t>CLIENT_CONTEXT.md (19 and 22 Oct calls)</t>
  </si>
  <si>
    <t>Used in Home hero and How it works step 3. Marked PLACEHOLDER in code.</t>
  </si>
  <si>
    <t>Every Moya One tower has its own plant room in the basement</t>
  </si>
  <si>
    <t>CLIENT_CONTEXT.md (control room in basement or cellar)</t>
  </si>
  <si>
    <t>Used in How it works step 1. Marked PLACEHOLDER in code.</t>
  </si>
  <si>
    <t>Available only in towers that build it in</t>
  </si>
  <si>
    <t>Derived from "installed during construction, through the builder"</t>
  </si>
  <si>
    <t>Used in Home hero. Marked PLACEHOLDER in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</si>
</sst>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 mmm yyyy"/>
    <numFmt numFmtId="165" formatCode="ddd dd mmm"/>
  </numFmts>
  <fonts count="10" x14ac:knownFonts="1">
    <font>
      <color theme="1"/>
      <family val="2"/>
      <scheme val="minor"/>
      <sz val="11"/>
      <name val="Calibri"/>
    </font>
    <font>
      <charset val="1"/>
      <color theme="1"/>
      <family val="2"/>
      <sz val="11"/>
      <name val="Calibri"/>
    </font>
    <font>
      <b/>
      <charset val="1"/>
      <sz val="12"/>
      <name val="Arial"/>
    </font>
    <font>
      <charset val="1"/>
      <sz val="10"/>
      <name val="Arial"/>
    </font>
    <font>
      <b/>
      <charset val="1"/>
      <sz val="10"/>
      <name val="Arial"/>
    </font>
    <font>
      <b/>
      <charset val="1"/>
      <sz val="14"/>
      <name val="Arial"/>
    </font>
    <font>
      <charset val="1"/>
      <color theme="1"/>
      <sz val="11"/>
      <name val="Arial"/>
    </font>
    <font>
      <b/>
      <charset val="1"/>
      <sz val="11"/>
      <name val="Arial"/>
    </font>
    <font>
      <charset val="1"/>
      <sz val="11"/>
      <name val="Arial"/>
    </font>
    <font>
      <b/>
      <charset val="1"/>
      <color rgb="FFFFFFFF"/>
      <sz val="11"/>
      <name val="Arial"/>
    </font>
  </fonts>
  <fills count="4">
    <fill>
      <patternFill patternType="none"/>
    </fill>
    <fill>
      <patternFill patternType="gray125"/>
    </fill>
    <fill>
      <patternFill patternType="solid">
        <fgColor rgb="FFFFF7CC"/>
        <bgColor rgb="FFFBEBEB"/>
      </patternFill>
    </fill>
    <fill>
      <patternFill patternType="solid">
        <fgColor rgb="FF111827"/>
        <bgColor rgb="FF000000"/>
      </patternFill>
    </fill>
  </fills>
  <borders count="2">
    <border>
      <left/>
      <right/>
      <top/>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17">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xf>
    <xf numFmtId="0" fontId="5" fillId="0" borderId="0" xfId="0" applyFont="1" applyAlignment="1">
      <alignment vertical="bottom"/>
    </xf>
    <xf numFmtId="0" fontId="6" fillId="0" borderId="0" xfId="0" applyFont="1" applyAlignment="1">
      <alignment vertical="bottom"/>
    </xf>
    <xf numFmtId="0" fontId="7" fillId="0" borderId="0" xfId="0" applyFont="1" applyAlignment="1">
      <alignment vertical="bottom"/>
    </xf>
    <xf numFmtId="164" fontId="8" fillId="2" borderId="0" xfId="0" applyNumberFormat="1" applyFont="1" applyFill="1" applyAlignment="1">
      <alignment vertical="bottom"/>
    </xf>
    <xf numFmtId="0" fontId="9" fillId="3" borderId="0" xfId="0" applyFont="1" applyFill="1" applyAlignment="1">
      <alignment vertical="bottom"/>
    </xf>
    <xf numFmtId="0" fontId="8" fillId="0" borderId="0" xfId="0" applyFont="1" applyAlignment="1">
      <alignment vertical="bottom"/>
    </xf>
    <xf numFmtId="9" fontId="8" fillId="0" borderId="0" xfId="0" applyNumberFormat="1" applyFont="1" applyAlignment="1">
      <alignment vertical="bottom"/>
    </xf>
    <xf numFmtId="164" fontId="8" fillId="0" borderId="0" xfId="0" applyNumberFormat="1" applyFont="1" applyAlignment="1">
      <alignment vertical="bottom"/>
    </xf>
    <xf numFmtId="0" fontId="9" fillId="3" borderId="1" xfId="0" applyFont="1" applyFill="1" applyBorder="1" applyAlignment="1">
      <alignment vertical="center" wrapText="1"/>
    </xf>
    <xf numFmtId="0" fontId="3" fillId="0" borderId="1" xfId="0" applyFont="1" applyBorder="1" applyAlignment="1">
      <alignment vertical="top" wrapText="1"/>
    </xf>
    <xf numFmtId="0" fontId="3" fillId="2" borderId="1" xfId="0" applyFont="1" applyFill="1" applyBorder="1" applyAlignment="1">
      <alignment vertical="top" wrapText="1"/>
    </xf>
    <xf numFmtId="165" fontId="3" fillId="0" borderId="1" xfId="0" applyNumberFormat="1" applyFont="1" applyBorder="1" applyAlignment="1">
      <alignment vertical="top" wrapText="1"/>
    </xf>
  </cellXfs>
  <cellStyles count="1">
    <cellStyle name="Normal" xfId="0" builtinId="0"/>
  </cellStyles>
  <dxfs count="2">
    <dxf>
      <fill>
        <patternFill>
          <bgColor rgb="FFE5F4E4"/>
        </patternFill>
      </fill>
    </dxf>
    <dxf>
      <fill>
        <patternFill>
          <bgColor rgb="FFFBEB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3"/>
  <sheetViews>
    <sheetView workbookViewId="0" zoomScale="100" zoomScaleNormal="100" view="normal">
      <selection activeCell="A1" sqref="A1"/>
    </sheetView>
  </sheetViews>
  <sheetFormatPr defaultRowHeight="15" outlineLevelRow="0" outlineLevelCol="0" x14ac:dyDescent="0" defaultColWidth="8.6796875"/>
  <cols>
    <col min="1" max="1" width="110" style="1" customWidth="1"/>
  </cols>
  <sheetData>
    <row r="1" ht="15" customHeight="1" spans="1:1" x14ac:dyDescent="0.25">
      <c r="A1" s="2" t="s">
        <v>0</v>
      </c>
    </row>
    <row r="2" ht="15" customHeight="1" spans="1:1" x14ac:dyDescent="0.25">
      <c r="A2" s="3" t="s">
        <v>1</v>
      </c>
    </row>
    <row r="3" ht="15" customHeight="1" spans="1:1" x14ac:dyDescent="0.25">
      <c r="A3" s="3"/>
    </row>
    <row r="4" ht="15" customHeight="1" spans="1:1" x14ac:dyDescent="0.25">
      <c r="A4" s="4" t="s">
        <v>2</v>
      </c>
    </row>
    <row r="5" ht="15" customHeight="1" spans="1:1" x14ac:dyDescent="0.25">
      <c r="A5" s="3" t="s">
        <v>3</v>
      </c>
    </row>
    <row r="6" ht="15" customHeight="1" spans="1:1" x14ac:dyDescent="0.25">
      <c r="A6" s="3" t="s">
        <v>4</v>
      </c>
    </row>
    <row r="7" ht="15" customHeight="1" spans="1:1" x14ac:dyDescent="0.25">
      <c r="A7" s="3"/>
    </row>
    <row r="8" ht="15" customHeight="1" spans="1:1" x14ac:dyDescent="0.25">
      <c r="A8" s="3" t="s">
        <v>5</v>
      </c>
    </row>
    <row r="9" ht="15" customHeight="1" spans="1:1" x14ac:dyDescent="0.25">
      <c r="A9" s="3" t="s">
        <v>6</v>
      </c>
    </row>
    <row r="10" ht="15" customHeight="1" spans="1:1" x14ac:dyDescent="0.25">
      <c r="A10" s="3"/>
    </row>
    <row r="11" ht="15" customHeight="1" spans="1:1" x14ac:dyDescent="0.25">
      <c r="A11" s="3"/>
    </row>
    <row r="12" ht="15" customHeight="1" spans="1:1" x14ac:dyDescent="0.25">
      <c r="A12" s="3"/>
    </row>
    <row r="13" ht="15" customHeight="1" spans="1:1" x14ac:dyDescent="0.25">
      <c r="A13" s="4" t="s">
        <v>7</v>
      </c>
    </row>
    <row r="14" ht="15" customHeight="1" spans="1:1" x14ac:dyDescent="0.25">
      <c r="A14" s="3" t="s">
        <v>8</v>
      </c>
    </row>
    <row r="15" ht="15" customHeight="1" spans="1:1" x14ac:dyDescent="0.25">
      <c r="A15" s="3" t="s">
        <v>9</v>
      </c>
    </row>
    <row r="16" ht="15" customHeight="1" spans="1:1" x14ac:dyDescent="0.25">
      <c r="A16" s="3"/>
    </row>
    <row r="17" ht="15" customHeight="1" spans="1:1" x14ac:dyDescent="0.25">
      <c r="A17" s="4" t="s">
        <v>10</v>
      </c>
    </row>
    <row r="18" ht="15" customHeight="1" spans="1:1" x14ac:dyDescent="0.25">
      <c r="A18" s="3" t="s">
        <v>11</v>
      </c>
    </row>
    <row r="19" ht="15" customHeight="1" spans="1:1" x14ac:dyDescent="0.25">
      <c r="A19" s="3"/>
    </row>
    <row r="20" ht="15" customHeight="1" spans="1:1" x14ac:dyDescent="0.25">
      <c r="A20" s="4"/>
    </row>
    <row r="21" ht="15" customHeight="1" spans="1:1" x14ac:dyDescent="0.25">
      <c r="A21" s="3" t="s">
        <v>12</v>
      </c>
    </row>
    <row r="22" ht="15" customHeight="1" spans="1:1" x14ac:dyDescent="0.25">
      <c r="A22" s="3" t="s">
        <v>13</v>
      </c>
    </row>
    <row r="23" ht="15" customHeight="1" spans="1:1" x14ac:dyDescent="0.25">
      <c r="A23" s="3"/>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zoomScale="100" zoomScaleNormal="100" view="normal">
      <selection activeCell="A1" sqref="A1"/>
    </sheetView>
  </sheetViews>
  <sheetFormatPr defaultRowHeight="15" outlineLevelRow="0" outlineLevelCol="0" x14ac:dyDescent="0" defaultColWidth="8.6796875"/>
  <cols>
    <col min="1" max="1" width="38" style="1" customWidth="1"/>
    <col min="2" max="2" width="18" style="1" customWidth="1"/>
  </cols>
  <sheetData>
    <row r="1" ht="17.25" customHeight="1" spans="1:2" x14ac:dyDescent="0.25">
      <c r="A1" s="5" t="s">
        <v>14</v>
      </c>
      <c r="B1" s="6"/>
    </row>
    <row r="2" ht="15" customHeight="1" spans="1:2" x14ac:dyDescent="0.25">
      <c r="A2" s="6"/>
      <c r="B2" s="6"/>
    </row>
    <row r="3" ht="15" customHeight="1" spans="1:2" x14ac:dyDescent="0.25">
      <c r="A3" s="7" t="s">
        <v>15</v>
      </c>
      <c r="B3" s="8">
        <v>46319</v>
      </c>
    </row>
    <row r="4" ht="15" customHeight="1" spans="1:2" x14ac:dyDescent="0.25">
      <c r="A4" s="6"/>
      <c r="B4" s="6"/>
    </row>
    <row r="5" ht="15" customHeight="1" spans="1:2" x14ac:dyDescent="0.25">
      <c r="A5" s="9" t="s">
        <v>16</v>
      </c>
      <c r="B5" s="9" t="s">
        <v>17</v>
      </c>
    </row>
    <row r="6" ht="15" customHeight="1" spans="1:2" x14ac:dyDescent="0.25">
      <c r="A6" s="10" t="s">
        <v>18</v>
      </c>
      <c r="B6" s="10">
        <f>COUNTIF(Tracker!$L$2:$L$80,A6)</f>
        <v>40</v>
      </c>
    </row>
    <row r="7" ht="15" customHeight="1" spans="1:2" x14ac:dyDescent="0.25">
      <c r="A7" s="10" t="s">
        <v>19</v>
      </c>
      <c r="B7" s="10">
        <f>COUNTIF(Tracker!$L$2:$L$80,A7)</f>
        <v>0</v>
      </c>
    </row>
    <row r="8" ht="15" customHeight="1" spans="1:2" x14ac:dyDescent="0.25">
      <c r="A8" s="10" t="s">
        <v>20</v>
      </c>
      <c r="B8" s="10">
        <f>COUNTIF(Tracker!$L$2:$L$80,A8)</f>
        <v>0</v>
      </c>
    </row>
    <row r="9" ht="15" customHeight="1" spans="1:2" x14ac:dyDescent="0.25">
      <c r="A9" s="10" t="s">
        <v>21</v>
      </c>
      <c r="B9" s="10">
        <f>COUNTIF(Tracker!$L$2:$L$80,A9)</f>
        <v>0</v>
      </c>
    </row>
    <row r="10" ht="15" customHeight="1" spans="1:2" x14ac:dyDescent="0.25">
      <c r="A10" s="7" t="s">
        <v>22</v>
      </c>
      <c r="B10" s="10">
        <f>COUNTA(Tracker!$A$2:$A$80)</f>
        <v>40</v>
      </c>
    </row>
    <row r="11" ht="15" customHeight="1" spans="1:2" x14ac:dyDescent="0.25">
      <c r="A11" s="7" t="s">
        <v>23</v>
      </c>
      <c r="B11" s="11">
        <f>IF(B10=0,0,B9/B10)</f>
        <v>0</v>
      </c>
    </row>
    <row r="12" ht="15" customHeight="1" spans="1:2" x14ac:dyDescent="0.25">
      <c r="A12" s="7" t="s">
        <v>24</v>
      </c>
      <c r="B12" s="10">
        <f>COUNTIFS(Tracker!$I$2:$I$80,"&lt;"&amp;TODAY(),Tracker!$L$2:$L$80,"&lt;&gt;Done")</f>
        <v>0</v>
      </c>
    </row>
    <row r="13" ht="15" customHeight="1" spans="1:2" x14ac:dyDescent="0.25">
      <c r="A13" s="7" t="s">
        <v>25</v>
      </c>
      <c r="B13" s="10">
        <f>COUNTIFS(Tracker!$K$2:$K$80,"Yes",Tracker!$L$2:$L$80,"&lt;&gt;Done")</f>
        <v>12</v>
      </c>
    </row>
    <row r="14" ht="15" customHeight="1" spans="1:2" x14ac:dyDescent="0.25">
      <c r="A14" s="7" t="s">
        <v>26</v>
      </c>
      <c r="B14" s="12">
        <f>MAX(Tracker!$I$2:$I$80)</f>
        <v>46352</v>
      </c>
    </row>
    <row r="15" ht="15" customHeight="1" spans="1:2" x14ac:dyDescent="0.25">
      <c r="A15" s="7"/>
      <c r="B15" s="10"/>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1"/>
  <sheetViews>
    <sheetView workbookViewId="0" zoomScale="100" zoomScaleNormal="100" view="normal">
      <pane xSplit="3" ySplit="1" topLeftCell="D2" activePane="bottomRight" state="frozen"/>
      <selection pane="bottomRight" activeCell="A1" sqref="A1"/>
    </sheetView>
  </sheetViews>
  <sheetFormatPr defaultRowHeight="15" outlineLevelRow="0" outlineLevelCol="0" x14ac:dyDescent="0" defaultColWidth="8.6796875"/>
  <cols>
    <col min="1" max="1" width="7" style="1" customWidth="1"/>
    <col min="2" max="2" width="13" style="1" customWidth="1"/>
    <col min="3" max="3" width="58" style="1" customWidth="1"/>
    <col min="4" max="4" width="16" style="1" customWidth="1"/>
    <col min="5" max="5" width="10" style="1" customWidth="1"/>
    <col min="6" max="7" width="9" style="1" customWidth="1"/>
    <col min="8" max="9" width="14" style="1" customWidth="1"/>
    <col min="10" max="10" width="11" style="1" customWidth="1"/>
    <col min="11" max="11" width="12" style="1" customWidth="1"/>
    <col min="12" max="12" width="14" style="1" customWidth="1"/>
    <col min="13" max="13" width="52" style="1" customWidth="1"/>
  </cols>
  <sheetData>
    <row r="1" ht="51.75" customHeight="1" spans="1:13" x14ac:dyDescent="0.25">
      <c r="A1" s="13" t="s">
        <v>27</v>
      </c>
      <c r="B1" s="13" t="s">
        <v>28</v>
      </c>
      <c r="C1" s="13" t="s">
        <v>29</v>
      </c>
      <c r="D1" s="13" t="s">
        <v>30</v>
      </c>
      <c r="E1" s="13" t="s">
        <v>31</v>
      </c>
      <c r="F1" s="13" t="s">
        <v>32</v>
      </c>
      <c r="G1" s="13" t="s">
        <v>33</v>
      </c>
      <c r="H1" s="13" t="s">
        <v>34</v>
      </c>
      <c r="I1" s="13" t="s">
        <v>35</v>
      </c>
      <c r="J1" s="13" t="s">
        <v>36</v>
      </c>
      <c r="K1" s="13" t="s">
        <v>37</v>
      </c>
      <c r="L1" s="13" t="s">
        <v>16</v>
      </c>
      <c r="M1" s="13" t="s">
        <v>38</v>
      </c>
    </row>
    <row r="2" ht="15" customHeight="1" spans="1:13" x14ac:dyDescent="0.25">
      <c r="A2" s="14" t="s">
        <v>39</v>
      </c>
      <c r="B2" s="14" t="s">
        <v>40</v>
      </c>
      <c r="C2" s="14" t="s">
        <v>41</v>
      </c>
      <c r="D2" s="14" t="s">
        <v>42</v>
      </c>
      <c r="E2" s="14" t="s">
        <v>43</v>
      </c>
      <c r="F2" s="15">
        <v>0</v>
      </c>
      <c r="G2" s="15">
        <v>5</v>
      </c>
      <c r="H2" s="16">
        <f>WORKDAY.INTL(Dashboard!$B$3,F2,"0000001")</f>
        <v>46319</v>
      </c>
      <c r="I2" s="16">
        <f>WORKDAY.INTL(Dashboard!$B$3,G2,"0000001")</f>
        <v>46325</v>
      </c>
      <c r="J2" s="14"/>
      <c r="K2" s="14" t="s">
        <v>44</v>
      </c>
      <c r="L2" s="15" t="s">
        <v>18</v>
      </c>
      <c r="M2" s="14" t="s">
        <v>45</v>
      </c>
    </row>
    <row r="3" ht="15" customHeight="1" spans="1:13" x14ac:dyDescent="0.25">
      <c r="A3" s="14" t="s">
        <v>46</v>
      </c>
      <c r="B3" s="14" t="s">
        <v>40</v>
      </c>
      <c r="C3" s="14" t="s">
        <v>47</v>
      </c>
      <c r="D3" s="14" t="s">
        <v>42</v>
      </c>
      <c r="E3" s="14" t="s">
        <v>43</v>
      </c>
      <c r="F3" s="15">
        <v>0</v>
      </c>
      <c r="G3" s="15">
        <v>5</v>
      </c>
      <c r="H3" s="16">
        <f>WORKDAY.INTL(Dashboard!$B$3,F3,"0000001")</f>
        <v>46319</v>
      </c>
      <c r="I3" s="16">
        <f>WORKDAY.INTL(Dashboard!$B$3,G3,"0000001")</f>
        <v>46325</v>
      </c>
      <c r="J3" s="14"/>
      <c r="K3" s="14" t="s">
        <v>44</v>
      </c>
      <c r="L3" s="15" t="s">
        <v>18</v>
      </c>
      <c r="M3" s="14" t="s">
        <v>48</v>
      </c>
    </row>
    <row r="4" ht="15" customHeight="1" spans="1:13" x14ac:dyDescent="0.25">
      <c r="A4" s="14" t="s">
        <v>49</v>
      </c>
      <c r="B4" s="14" t="s">
        <v>40</v>
      </c>
      <c r="C4" s="14" t="s">
        <v>50</v>
      </c>
      <c r="D4" s="14" t="s">
        <v>42</v>
      </c>
      <c r="E4" s="14" t="s">
        <v>43</v>
      </c>
      <c r="F4" s="15">
        <v>0</v>
      </c>
      <c r="G4" s="15">
        <v>2</v>
      </c>
      <c r="H4" s="16">
        <f>WORKDAY.INTL(Dashboard!$B$3,F4,"0000001")</f>
        <v>46319</v>
      </c>
      <c r="I4" s="16">
        <f>WORKDAY.INTL(Dashboard!$B$3,G4,"0000001")</f>
        <v>46322</v>
      </c>
      <c r="J4" s="14"/>
      <c r="K4" s="14" t="s">
        <v>51</v>
      </c>
      <c r="L4" s="15" t="s">
        <v>18</v>
      </c>
      <c r="M4" s="14" t="s">
        <v>52</v>
      </c>
    </row>
    <row r="5" ht="15" customHeight="1" spans="1:13" x14ac:dyDescent="0.25">
      <c r="A5" s="14" t="s">
        <v>53</v>
      </c>
      <c r="B5" s="14" t="s">
        <v>40</v>
      </c>
      <c r="C5" s="14" t="s">
        <v>54</v>
      </c>
      <c r="D5" s="14" t="s">
        <v>42</v>
      </c>
      <c r="E5" s="14" t="s">
        <v>43</v>
      </c>
      <c r="F5" s="15">
        <v>2</v>
      </c>
      <c r="G5" s="15">
        <v>4</v>
      </c>
      <c r="H5" s="16">
        <f>WORKDAY.INTL(Dashboard!$B$3,F5,"0000001")</f>
        <v>46322</v>
      </c>
      <c r="I5" s="16">
        <f>WORKDAY.INTL(Dashboard!$B$3,G5,"0000001")</f>
        <v>46324</v>
      </c>
      <c r="J5" s="14" t="s">
        <v>49</v>
      </c>
      <c r="K5" s="14" t="s">
        <v>51</v>
      </c>
      <c r="L5" s="15" t="s">
        <v>18</v>
      </c>
      <c r="M5" s="14" t="s">
        <v>55</v>
      </c>
    </row>
    <row r="6" ht="15" customHeight="1" spans="1:13" x14ac:dyDescent="0.25">
      <c r="A6" s="14" t="s">
        <v>56</v>
      </c>
      <c r="B6" s="14" t="s">
        <v>40</v>
      </c>
      <c r="C6" s="14" t="s">
        <v>57</v>
      </c>
      <c r="D6" s="14" t="s">
        <v>42</v>
      </c>
      <c r="E6" s="14" t="s">
        <v>43</v>
      </c>
      <c r="F6" s="15">
        <v>3</v>
      </c>
      <c r="G6" s="15">
        <v>5</v>
      </c>
      <c r="H6" s="16">
        <f>WORKDAY.INTL(Dashboard!$B$3,F6,"0000001")</f>
        <v>46323</v>
      </c>
      <c r="I6" s="16">
        <f>WORKDAY.INTL(Dashboard!$B$3,G6,"0000001")</f>
        <v>46325</v>
      </c>
      <c r="J6" s="14" t="s">
        <v>49</v>
      </c>
      <c r="K6" s="14" t="s">
        <v>51</v>
      </c>
      <c r="L6" s="15" t="s">
        <v>18</v>
      </c>
      <c r="M6" s="14" t="s">
        <v>58</v>
      </c>
    </row>
    <row r="7" ht="15" customHeight="1" spans="1:13" x14ac:dyDescent="0.25">
      <c r="A7" s="14" t="s">
        <v>59</v>
      </c>
      <c r="B7" s="14" t="s">
        <v>40</v>
      </c>
      <c r="C7" s="14" t="s">
        <v>60</v>
      </c>
      <c r="D7" s="14" t="s">
        <v>42</v>
      </c>
      <c r="E7" s="14" t="s">
        <v>43</v>
      </c>
      <c r="F7" s="15">
        <v>2</v>
      </c>
      <c r="G7" s="15">
        <v>6</v>
      </c>
      <c r="H7" s="16">
        <f>WORKDAY.INTL(Dashboard!$B$3,F7,"0000001")</f>
        <v>46322</v>
      </c>
      <c r="I7" s="16">
        <f>WORKDAY.INTL(Dashboard!$B$3,G7,"0000001")</f>
        <v>46326</v>
      </c>
      <c r="J7" s="14" t="s">
        <v>53</v>
      </c>
      <c r="K7" s="14" t="s">
        <v>51</v>
      </c>
      <c r="L7" s="15" t="s">
        <v>18</v>
      </c>
      <c r="M7" s="14" t="s">
        <v>61</v>
      </c>
    </row>
    <row r="8" ht="15" customHeight="1" spans="1:13" x14ac:dyDescent="0.25">
      <c r="A8" s="14" t="s">
        <v>62</v>
      </c>
      <c r="B8" s="14" t="s">
        <v>40</v>
      </c>
      <c r="C8" s="14" t="s">
        <v>63</v>
      </c>
      <c r="D8" s="14" t="s">
        <v>64</v>
      </c>
      <c r="E8" s="14" t="s">
        <v>43</v>
      </c>
      <c r="F8" s="15">
        <v>0</v>
      </c>
      <c r="G8" s="15">
        <v>2</v>
      </c>
      <c r="H8" s="16">
        <f>WORKDAY.INTL(Dashboard!$B$3,F8,"0000001")</f>
        <v>46319</v>
      </c>
      <c r="I8" s="16">
        <f>WORKDAY.INTL(Dashboard!$B$3,G8,"0000001")</f>
        <v>46322</v>
      </c>
      <c r="J8" s="14"/>
      <c r="K8" s="14" t="s">
        <v>44</v>
      </c>
      <c r="L8" s="15" t="s">
        <v>18</v>
      </c>
      <c r="M8" s="14" t="s">
        <v>65</v>
      </c>
    </row>
    <row r="9" ht="15" customHeight="1" spans="1:13" x14ac:dyDescent="0.25">
      <c r="A9" s="14" t="s">
        <v>66</v>
      </c>
      <c r="B9" s="14" t="s">
        <v>67</v>
      </c>
      <c r="C9" s="14" t="s">
        <v>68</v>
      </c>
      <c r="D9" s="14" t="s">
        <v>69</v>
      </c>
      <c r="E9" s="14" t="s">
        <v>43</v>
      </c>
      <c r="F9" s="15">
        <v>0</v>
      </c>
      <c r="G9" s="15">
        <v>5</v>
      </c>
      <c r="H9" s="16">
        <f>WORKDAY.INTL(Dashboard!$B$3,F9,"0000001")</f>
        <v>46319</v>
      </c>
      <c r="I9" s="16">
        <f>WORKDAY.INTL(Dashboard!$B$3,G9,"0000001")</f>
        <v>46325</v>
      </c>
      <c r="J9" s="14"/>
      <c r="K9" s="14" t="s">
        <v>44</v>
      </c>
      <c r="L9" s="15" t="s">
        <v>18</v>
      </c>
      <c r="M9" s="14" t="s">
        <v>70</v>
      </c>
    </row>
    <row r="10" ht="15" customHeight="1" spans="1:13" x14ac:dyDescent="0.25">
      <c r="A10" s="14" t="s">
        <v>71</v>
      </c>
      <c r="B10" s="14" t="s">
        <v>67</v>
      </c>
      <c r="C10" s="14" t="s">
        <v>72</v>
      </c>
      <c r="D10" s="14" t="s">
        <v>69</v>
      </c>
      <c r="E10" s="14" t="s">
        <v>43</v>
      </c>
      <c r="F10" s="15">
        <v>0</v>
      </c>
      <c r="G10" s="15">
        <v>5</v>
      </c>
      <c r="H10" s="16">
        <f>WORKDAY.INTL(Dashboard!$B$3,F10,"0000001")</f>
        <v>46319</v>
      </c>
      <c r="I10" s="16">
        <f>WORKDAY.INTL(Dashboard!$B$3,G10,"0000001")</f>
        <v>46325</v>
      </c>
      <c r="J10" s="14"/>
      <c r="K10" s="14" t="s">
        <v>44</v>
      </c>
      <c r="L10" s="15" t="s">
        <v>18</v>
      </c>
      <c r="M10" s="14" t="s">
        <v>73</v>
      </c>
    </row>
    <row r="11" ht="15" customHeight="1" spans="1:13" x14ac:dyDescent="0.25">
      <c r="A11" s="14" t="s">
        <v>74</v>
      </c>
      <c r="B11" s="14" t="s">
        <v>67</v>
      </c>
      <c r="C11" s="14" t="s">
        <v>75</v>
      </c>
      <c r="D11" s="14" t="s">
        <v>64</v>
      </c>
      <c r="E11" s="14" t="s">
        <v>43</v>
      </c>
      <c r="F11" s="15">
        <v>3</v>
      </c>
      <c r="G11" s="15">
        <v>10</v>
      </c>
      <c r="H11" s="16">
        <f>WORKDAY.INTL(Dashboard!$B$3,F11,"0000001")</f>
        <v>46323</v>
      </c>
      <c r="I11" s="16">
        <f>WORKDAY.INTL(Dashboard!$B$3,G11,"0000001")</f>
        <v>46331</v>
      </c>
      <c r="J11" s="14" t="s">
        <v>71</v>
      </c>
      <c r="K11" s="14" t="s">
        <v>44</v>
      </c>
      <c r="L11" s="15" t="s">
        <v>18</v>
      </c>
      <c r="M11" s="14" t="s">
        <v>76</v>
      </c>
    </row>
    <row r="12" ht="15" customHeight="1" spans="1:13" x14ac:dyDescent="0.25">
      <c r="A12" s="14" t="s">
        <v>77</v>
      </c>
      <c r="B12" s="14" t="s">
        <v>67</v>
      </c>
      <c r="C12" s="14" t="s">
        <v>78</v>
      </c>
      <c r="D12" s="14" t="s">
        <v>42</v>
      </c>
      <c r="E12" s="14" t="s">
        <v>43</v>
      </c>
      <c r="F12" s="15">
        <v>5</v>
      </c>
      <c r="G12" s="15">
        <v>8</v>
      </c>
      <c r="H12" s="16">
        <f>WORKDAY.INTL(Dashboard!$B$3,F12,"0000001")</f>
        <v>46325</v>
      </c>
      <c r="I12" s="16">
        <f>WORKDAY.INTL(Dashboard!$B$3,G12,"0000001")</f>
        <v>46329</v>
      </c>
      <c r="J12" s="14" t="s">
        <v>71</v>
      </c>
      <c r="K12" s="14" t="s">
        <v>51</v>
      </c>
      <c r="L12" s="15" t="s">
        <v>18</v>
      </c>
      <c r="M12" s="14"/>
    </row>
    <row r="13" ht="15" customHeight="1" spans="1:13" x14ac:dyDescent="0.25">
      <c r="A13" s="14" t="s">
        <v>79</v>
      </c>
      <c r="B13" s="14" t="s">
        <v>67</v>
      </c>
      <c r="C13" s="14" t="s">
        <v>80</v>
      </c>
      <c r="D13" s="14" t="s">
        <v>64</v>
      </c>
      <c r="E13" s="14" t="s">
        <v>43</v>
      </c>
      <c r="F13" s="15">
        <v>5</v>
      </c>
      <c r="G13" s="15">
        <v>10</v>
      </c>
      <c r="H13" s="16">
        <f>WORKDAY.INTL(Dashboard!$B$3,F13,"0000001")</f>
        <v>46325</v>
      </c>
      <c r="I13" s="16">
        <f>WORKDAY.INTL(Dashboard!$B$3,G13,"0000001")</f>
        <v>46331</v>
      </c>
      <c r="J13" s="14" t="s">
        <v>77</v>
      </c>
      <c r="K13" s="14" t="s">
        <v>51</v>
      </c>
      <c r="L13" s="15" t="s">
        <v>18</v>
      </c>
      <c r="M13" s="14" t="s">
        <v>81</v>
      </c>
    </row>
    <row r="14" ht="15" customHeight="1" spans="1:13" x14ac:dyDescent="0.25">
      <c r="A14" s="14" t="s">
        <v>82</v>
      </c>
      <c r="B14" s="14" t="s">
        <v>67</v>
      </c>
      <c r="C14" s="14" t="s">
        <v>83</v>
      </c>
      <c r="D14" s="14" t="s">
        <v>64</v>
      </c>
      <c r="E14" s="14" t="s">
        <v>43</v>
      </c>
      <c r="F14" s="15">
        <v>5</v>
      </c>
      <c r="G14" s="15">
        <v>10</v>
      </c>
      <c r="H14" s="16">
        <f>WORKDAY.INTL(Dashboard!$B$3,F14,"0000001")</f>
        <v>46325</v>
      </c>
      <c r="I14" s="16">
        <f>WORKDAY.INTL(Dashboard!$B$3,G14,"0000001")</f>
        <v>46331</v>
      </c>
      <c r="J14" s="14" t="s">
        <v>77</v>
      </c>
      <c r="K14" s="14" t="s">
        <v>51</v>
      </c>
      <c r="L14" s="15" t="s">
        <v>18</v>
      </c>
      <c r="M14" s="14"/>
    </row>
    <row r="15" ht="15" customHeight="1" spans="1:13" x14ac:dyDescent="0.25">
      <c r="A15" s="14" t="s">
        <v>84</v>
      </c>
      <c r="B15" s="14" t="s">
        <v>67</v>
      </c>
      <c r="C15" s="14" t="s">
        <v>85</v>
      </c>
      <c r="D15" s="14" t="s">
        <v>64</v>
      </c>
      <c r="E15" s="14" t="s">
        <v>43</v>
      </c>
      <c r="F15" s="15">
        <v>7</v>
      </c>
      <c r="G15" s="15">
        <v>12</v>
      </c>
      <c r="H15" s="16">
        <f>WORKDAY.INTL(Dashboard!$B$3,F15,"0000001")</f>
        <v>46328</v>
      </c>
      <c r="I15" s="16">
        <f>WORKDAY.INTL(Dashboard!$B$3,G15,"0000001")</f>
        <v>46333</v>
      </c>
      <c r="J15" s="14" t="s">
        <v>77</v>
      </c>
      <c r="K15" s="14" t="s">
        <v>51</v>
      </c>
      <c r="L15" s="15" t="s">
        <v>18</v>
      </c>
      <c r="M15" s="14" t="s">
        <v>86</v>
      </c>
    </row>
    <row r="16" ht="15" customHeight="1" spans="1:13" x14ac:dyDescent="0.25">
      <c r="A16" s="14" t="s">
        <v>87</v>
      </c>
      <c r="B16" s="14" t="s">
        <v>67</v>
      </c>
      <c r="C16" s="14" t="s">
        <v>88</v>
      </c>
      <c r="D16" s="14" t="s">
        <v>64</v>
      </c>
      <c r="E16" s="14" t="s">
        <v>43</v>
      </c>
      <c r="F16" s="15">
        <v>7</v>
      </c>
      <c r="G16" s="15">
        <v>12</v>
      </c>
      <c r="H16" s="16">
        <f>WORKDAY.INTL(Dashboard!$B$3,F16,"0000001")</f>
        <v>46328</v>
      </c>
      <c r="I16" s="16">
        <f>WORKDAY.INTL(Dashboard!$B$3,G16,"0000001")</f>
        <v>46333</v>
      </c>
      <c r="J16" s="14" t="s">
        <v>77</v>
      </c>
      <c r="K16" s="14" t="s">
        <v>51</v>
      </c>
      <c r="L16" s="15" t="s">
        <v>18</v>
      </c>
      <c r="M16" s="14"/>
    </row>
    <row r="17" ht="15" customHeight="1" spans="1:13" x14ac:dyDescent="0.25">
      <c r="A17" s="14" t="s">
        <v>89</v>
      </c>
      <c r="B17" s="14" t="s">
        <v>67</v>
      </c>
      <c r="C17" s="14" t="s">
        <v>90</v>
      </c>
      <c r="D17" s="14" t="s">
        <v>64</v>
      </c>
      <c r="E17" s="14" t="s">
        <v>43</v>
      </c>
      <c r="F17" s="15">
        <v>10</v>
      </c>
      <c r="G17" s="15">
        <v>14</v>
      </c>
      <c r="H17" s="16">
        <f>WORKDAY.INTL(Dashboard!$B$3,F17,"0000001")</f>
        <v>46331</v>
      </c>
      <c r="I17" s="16">
        <f>WORKDAY.INTL(Dashboard!$B$3,G17,"0000001")</f>
        <v>46336</v>
      </c>
      <c r="J17" s="14"/>
      <c r="K17" s="14" t="s">
        <v>44</v>
      </c>
      <c r="L17" s="15" t="s">
        <v>18</v>
      </c>
      <c r="M17" s="14" t="s">
        <v>91</v>
      </c>
    </row>
    <row r="18" ht="15" customHeight="1" spans="1:13" x14ac:dyDescent="0.25">
      <c r="A18" s="14" t="s">
        <v>92</v>
      </c>
      <c r="B18" s="14" t="s">
        <v>93</v>
      </c>
      <c r="C18" s="14" t="s">
        <v>94</v>
      </c>
      <c r="D18" s="14" t="s">
        <v>42</v>
      </c>
      <c r="E18" s="14" t="s">
        <v>43</v>
      </c>
      <c r="F18" s="15">
        <v>2</v>
      </c>
      <c r="G18" s="15">
        <v>5</v>
      </c>
      <c r="H18" s="16">
        <f>WORKDAY.INTL(Dashboard!$B$3,F18,"0000001")</f>
        <v>46322</v>
      </c>
      <c r="I18" s="16">
        <f>WORKDAY.INTL(Dashboard!$B$3,G18,"0000001")</f>
        <v>46325</v>
      </c>
      <c r="J18" s="14" t="s">
        <v>59</v>
      </c>
      <c r="K18" s="14" t="s">
        <v>51</v>
      </c>
      <c r="L18" s="15" t="s">
        <v>18</v>
      </c>
      <c r="M18" s="14" t="s">
        <v>95</v>
      </c>
    </row>
    <row r="19" ht="15" customHeight="1" spans="1:13" x14ac:dyDescent="0.25">
      <c r="A19" s="14" t="s">
        <v>96</v>
      </c>
      <c r="B19" s="14" t="s">
        <v>93</v>
      </c>
      <c r="C19" s="14" t="s">
        <v>97</v>
      </c>
      <c r="D19" s="14" t="s">
        <v>42</v>
      </c>
      <c r="E19" s="14" t="s">
        <v>43</v>
      </c>
      <c r="F19" s="15">
        <v>2</v>
      </c>
      <c r="G19" s="15">
        <v>5</v>
      </c>
      <c r="H19" s="16">
        <f>WORKDAY.INTL(Dashboard!$B$3,F19,"0000001")</f>
        <v>46322</v>
      </c>
      <c r="I19" s="16">
        <f>WORKDAY.INTL(Dashboard!$B$3,G19,"0000001")</f>
        <v>46325</v>
      </c>
      <c r="J19" s="14" t="s">
        <v>49</v>
      </c>
      <c r="K19" s="14" t="s">
        <v>51</v>
      </c>
      <c r="L19" s="15" t="s">
        <v>19</v>
      </c>
      <c r="M19" s="14" t="s">
        <v>98</v>
      </c>
    </row>
    <row r="20" ht="15" customHeight="1" spans="1:13" x14ac:dyDescent="0.25">
      <c r="A20" s="14" t="s">
        <v>99</v>
      </c>
      <c r="B20" s="14" t="s">
        <v>93</v>
      </c>
      <c r="C20" s="14" t="s">
        <v>100</v>
      </c>
      <c r="D20" s="14" t="s">
        <v>42</v>
      </c>
      <c r="E20" s="14" t="s">
        <v>43</v>
      </c>
      <c r="F20" s="15">
        <v>6</v>
      </c>
      <c r="G20" s="15">
        <v>11</v>
      </c>
      <c r="H20" s="16">
        <f>WORKDAY.INTL(Dashboard!$B$3,F20,"0000001")</f>
        <v>46326</v>
      </c>
      <c r="I20" s="16">
        <f>WORKDAY.INTL(Dashboard!$B$3,G20,"0000001")</f>
        <v>46332</v>
      </c>
      <c r="J20" s="14" t="s">
        <v>96</v>
      </c>
      <c r="K20" s="14" t="s">
        <v>51</v>
      </c>
      <c r="L20" s="15" t="s">
        <v>21</v>
      </c>
      <c r="M20" s="14" t="s">
        <v>101</v>
      </c>
    </row>
    <row r="21" ht="15" customHeight="1" spans="1:13" x14ac:dyDescent="0.25">
      <c r="A21" s="14" t="s">
        <v>102</v>
      </c>
      <c r="B21" s="14" t="s">
        <v>93</v>
      </c>
      <c r="C21" s="14" t="s">
        <v>103</v>
      </c>
      <c r="D21" s="14" t="s">
        <v>42</v>
      </c>
      <c r="E21" s="14" t="s">
        <v>43</v>
      </c>
      <c r="F21" s="15">
        <v>6</v>
      </c>
      <c r="G21" s="15">
        <v>11</v>
      </c>
      <c r="H21" s="16">
        <f>WORKDAY.INTL(Dashboard!$B$3,F21,"0000001")</f>
        <v>46326</v>
      </c>
      <c r="I21" s="16">
        <f>WORKDAY.INTL(Dashboard!$B$3,G21,"0000001")</f>
        <v>46332</v>
      </c>
      <c r="J21" s="14" t="s">
        <v>56</v>
      </c>
      <c r="K21" s="14" t="s">
        <v>51</v>
      </c>
      <c r="L21" s="15" t="s">
        <v>19</v>
      </c>
      <c r="M21" s="14" t="s">
        <v>104</v>
      </c>
    </row>
    <row r="22" ht="15" customHeight="1" spans="1:13" x14ac:dyDescent="0.25">
      <c r="A22" s="14" t="s">
        <v>105</v>
      </c>
      <c r="B22" s="14" t="s">
        <v>93</v>
      </c>
      <c r="C22" s="14" t="s">
        <v>106</v>
      </c>
      <c r="D22" s="14" t="s">
        <v>42</v>
      </c>
      <c r="E22" s="14" t="s">
        <v>43</v>
      </c>
      <c r="F22" s="15">
        <v>6</v>
      </c>
      <c r="G22" s="15">
        <v>10</v>
      </c>
      <c r="H22" s="16">
        <f>WORKDAY.INTL(Dashboard!$B$3,F22,"0000001")</f>
        <v>46326</v>
      </c>
      <c r="I22" s="16">
        <f>WORKDAY.INTL(Dashboard!$B$3,G22,"0000001")</f>
        <v>46331</v>
      </c>
      <c r="J22" s="14" t="s">
        <v>92</v>
      </c>
      <c r="K22" s="14" t="s">
        <v>51</v>
      </c>
      <c r="L22" s="15" t="s">
        <v>18</v>
      </c>
      <c r="M22" s="14"/>
    </row>
    <row r="23" ht="15" customHeight="1" spans="1:13" x14ac:dyDescent="0.25">
      <c r="A23" s="14" t="s">
        <v>107</v>
      </c>
      <c r="B23" s="14" t="s">
        <v>93</v>
      </c>
      <c r="C23" s="14" t="s">
        <v>108</v>
      </c>
      <c r="D23" s="14" t="s">
        <v>42</v>
      </c>
      <c r="E23" s="14" t="s">
        <v>43</v>
      </c>
      <c r="F23" s="15">
        <v>8</v>
      </c>
      <c r="G23" s="15">
        <v>12</v>
      </c>
      <c r="H23" s="16">
        <f>WORKDAY.INTL(Dashboard!$B$3,F23,"0000001")</f>
        <v>46329</v>
      </c>
      <c r="I23" s="16">
        <f>WORKDAY.INTL(Dashboard!$B$3,G23,"0000001")</f>
        <v>46333</v>
      </c>
      <c r="J23" s="14" t="s">
        <v>53</v>
      </c>
      <c r="K23" s="14" t="s">
        <v>51</v>
      </c>
      <c r="L23" s="15" t="s">
        <v>18</v>
      </c>
      <c r="M23" s="14"/>
    </row>
    <row r="24" ht="15" customHeight="1" spans="1:13" x14ac:dyDescent="0.25">
      <c r="A24" s="14" t="s">
        <v>109</v>
      </c>
      <c r="B24" s="14" t="s">
        <v>93</v>
      </c>
      <c r="C24" s="14" t="s">
        <v>110</v>
      </c>
      <c r="D24" s="14" t="s">
        <v>69</v>
      </c>
      <c r="E24" s="14" t="s">
        <v>43</v>
      </c>
      <c r="F24" s="15">
        <v>12</v>
      </c>
      <c r="G24" s="15">
        <v>14</v>
      </c>
      <c r="H24" s="16">
        <f>WORKDAY.INTL(Dashboard!$B$3,F24,"0000001")</f>
        <v>46333</v>
      </c>
      <c r="I24" s="16">
        <f>WORKDAY.INTL(Dashboard!$B$3,G24,"0000001")</f>
        <v>46336</v>
      </c>
      <c r="J24" s="14" t="s">
        <v>105</v>
      </c>
      <c r="K24" s="14" t="s">
        <v>44</v>
      </c>
      <c r="L24" s="15" t="s">
        <v>18</v>
      </c>
      <c r="M24" s="14" t="s">
        <v>111</v>
      </c>
    </row>
    <row r="25" ht="15" customHeight="1" spans="1:13" x14ac:dyDescent="0.25">
      <c r="A25" s="14" t="s">
        <v>112</v>
      </c>
      <c r="B25" s="14" t="s">
        <v>113</v>
      </c>
      <c r="C25" s="14" t="s">
        <v>114</v>
      </c>
      <c r="D25" s="14" t="s">
        <v>115</v>
      </c>
      <c r="E25" s="14" t="s">
        <v>43</v>
      </c>
      <c r="F25" s="15">
        <v>7</v>
      </c>
      <c r="G25" s="15">
        <v>8</v>
      </c>
      <c r="H25" s="16">
        <f>WORKDAY.INTL(Dashboard!$B$3,F25,"0000001")</f>
        <v>46328</v>
      </c>
      <c r="I25" s="16">
        <f>WORKDAY.INTL(Dashboard!$B$3,G25,"0000001")</f>
        <v>46329</v>
      </c>
      <c r="J25" s="14" t="s">
        <v>107</v>
      </c>
      <c r="K25" s="14" t="s">
        <v>51</v>
      </c>
      <c r="L25" s="15" t="s">
        <v>21</v>
      </c>
      <c r="M25" s="14" t="s">
        <v>116</v>
      </c>
    </row>
    <row r="26" ht="15" customHeight="1" spans="1:13" x14ac:dyDescent="0.25">
      <c r="A26" s="14" t="s">
        <v>117</v>
      </c>
      <c r="B26" s="14" t="s">
        <v>113</v>
      </c>
      <c r="C26" s="14" t="s">
        <v>118</v>
      </c>
      <c r="D26" s="14" t="s">
        <v>115</v>
      </c>
      <c r="E26" s="14" t="s">
        <v>43</v>
      </c>
      <c r="F26" s="15">
        <v>8</v>
      </c>
      <c r="G26" s="15">
        <v>12</v>
      </c>
      <c r="H26" s="16">
        <f>WORKDAY.INTL(Dashboard!$B$3,F26,"0000001")</f>
        <v>46329</v>
      </c>
      <c r="I26" s="16">
        <f>WORKDAY.INTL(Dashboard!$B$3,G26,"0000001")</f>
        <v>46333</v>
      </c>
      <c r="J26" s="14" t="s">
        <v>105</v>
      </c>
      <c r="K26" s="14" t="s">
        <v>51</v>
      </c>
      <c r="L26" s="15" t="s">
        <v>19</v>
      </c>
      <c r="M26" s="14" t="s">
        <v>119</v>
      </c>
    </row>
    <row r="27" ht="15" customHeight="1" spans="1:13" x14ac:dyDescent="0.25">
      <c r="A27" s="14" t="s">
        <v>120</v>
      </c>
      <c r="B27" s="14" t="s">
        <v>113</v>
      </c>
      <c r="C27" s="14" t="s">
        <v>121</v>
      </c>
      <c r="D27" s="14" t="s">
        <v>115</v>
      </c>
      <c r="E27" s="14" t="s">
        <v>43</v>
      </c>
      <c r="F27" s="15">
        <v>10</v>
      </c>
      <c r="G27" s="15">
        <v>13</v>
      </c>
      <c r="H27" s="16">
        <f>WORKDAY.INTL(Dashboard!$B$3,F27,"0000001")</f>
        <v>46331</v>
      </c>
      <c r="I27" s="16">
        <f>WORKDAY.INTL(Dashboard!$B$3,G27,"0000001")</f>
        <v>46335</v>
      </c>
      <c r="J27" s="14" t="s">
        <v>112</v>
      </c>
      <c r="K27" s="14" t="s">
        <v>51</v>
      </c>
      <c r="L27" s="15" t="s">
        <v>19</v>
      </c>
      <c r="M27" s="14" t="s">
        <v>122</v>
      </c>
    </row>
    <row r="28" ht="15" customHeight="1" spans="1:13" x14ac:dyDescent="0.25">
      <c r="A28" s="14" t="s">
        <v>123</v>
      </c>
      <c r="B28" s="14" t="s">
        <v>113</v>
      </c>
      <c r="C28" s="14" t="s">
        <v>124</v>
      </c>
      <c r="D28" s="14" t="s">
        <v>115</v>
      </c>
      <c r="E28" s="14" t="s">
        <v>43</v>
      </c>
      <c r="F28" s="15">
        <v>10</v>
      </c>
      <c r="G28" s="15">
        <v>14</v>
      </c>
      <c r="H28" s="16">
        <f>WORKDAY.INTL(Dashboard!$B$3,F28,"0000001")</f>
        <v>46331</v>
      </c>
      <c r="I28" s="16">
        <f>WORKDAY.INTL(Dashboard!$B$3,G28,"0000001")</f>
        <v>46336</v>
      </c>
      <c r="J28" s="14" t="s">
        <v>112</v>
      </c>
      <c r="K28" s="14" t="s">
        <v>51</v>
      </c>
      <c r="L28" s="15" t="s">
        <v>18</v>
      </c>
      <c r="M28" s="14"/>
    </row>
    <row r="29" ht="15" customHeight="1" spans="1:13" x14ac:dyDescent="0.25">
      <c r="A29" s="14" t="s">
        <v>125</v>
      </c>
      <c r="B29" s="14" t="s">
        <v>113</v>
      </c>
      <c r="C29" s="14" t="s">
        <v>126</v>
      </c>
      <c r="D29" s="14" t="s">
        <v>115</v>
      </c>
      <c r="E29" s="14" t="s">
        <v>43</v>
      </c>
      <c r="F29" s="15">
        <v>11</v>
      </c>
      <c r="G29" s="15">
        <v>14</v>
      </c>
      <c r="H29" s="16">
        <f>WORKDAY.INTL(Dashboard!$B$3,F29,"0000001")</f>
        <v>46332</v>
      </c>
      <c r="I29" s="16">
        <f>WORKDAY.INTL(Dashboard!$B$3,G29,"0000001")</f>
        <v>46336</v>
      </c>
      <c r="J29" s="14" t="s">
        <v>112</v>
      </c>
      <c r="K29" s="14" t="s">
        <v>51</v>
      </c>
      <c r="L29" s="15" t="s">
        <v>18</v>
      </c>
      <c r="M29" s="14"/>
    </row>
    <row r="30" ht="15" customHeight="1" spans="1:13" x14ac:dyDescent="0.25">
      <c r="A30" s="14" t="s">
        <v>127</v>
      </c>
      <c r="B30" s="14" t="s">
        <v>113</v>
      </c>
      <c r="C30" s="14" t="s">
        <v>128</v>
      </c>
      <c r="D30" s="14" t="s">
        <v>115</v>
      </c>
      <c r="E30" s="14" t="s">
        <v>43</v>
      </c>
      <c r="F30" s="15">
        <v>9</v>
      </c>
      <c r="G30" s="15">
        <v>13</v>
      </c>
      <c r="H30" s="16">
        <f>WORKDAY.INTL(Dashboard!$B$3,F30,"0000001")</f>
        <v>46330</v>
      </c>
      <c r="I30" s="16">
        <f>WORKDAY.INTL(Dashboard!$B$3,G30,"0000001")</f>
        <v>46335</v>
      </c>
      <c r="J30" s="14" t="s">
        <v>105</v>
      </c>
      <c r="K30" s="14" t="s">
        <v>51</v>
      </c>
      <c r="L30" s="15" t="s">
        <v>19</v>
      </c>
      <c r="M30" s="14" t="s">
        <v>129</v>
      </c>
    </row>
    <row r="31" ht="15" customHeight="1" spans="1:13" x14ac:dyDescent="0.25">
      <c r="A31" s="14" t="s">
        <v>130</v>
      </c>
      <c r="B31" s="14" t="s">
        <v>113</v>
      </c>
      <c r="C31" s="14" t="s">
        <v>131</v>
      </c>
      <c r="D31" s="14" t="s">
        <v>115</v>
      </c>
      <c r="E31" s="14" t="s">
        <v>43</v>
      </c>
      <c r="F31" s="15">
        <v>12</v>
      </c>
      <c r="G31" s="15">
        <v>14</v>
      </c>
      <c r="H31" s="16">
        <f>WORKDAY.INTL(Dashboard!$B$3,F31,"0000001")</f>
        <v>46333</v>
      </c>
      <c r="I31" s="16">
        <f>WORKDAY.INTL(Dashboard!$B$3,G31,"0000001")</f>
        <v>46336</v>
      </c>
      <c r="J31" s="14" t="s">
        <v>117</v>
      </c>
      <c r="K31" s="14" t="s">
        <v>51</v>
      </c>
      <c r="L31" s="15" t="s">
        <v>19</v>
      </c>
      <c r="M31" s="14" t="s">
        <v>132</v>
      </c>
    </row>
    <row r="32" ht="15" customHeight="1" spans="1:13" x14ac:dyDescent="0.25">
      <c r="A32" s="14" t="s">
        <v>133</v>
      </c>
      <c r="B32" s="14" t="s">
        <v>113</v>
      </c>
      <c r="C32" s="14" t="s">
        <v>134</v>
      </c>
      <c r="D32" s="14" t="s">
        <v>115</v>
      </c>
      <c r="E32" s="14" t="s">
        <v>43</v>
      </c>
      <c r="F32" s="15">
        <v>13</v>
      </c>
      <c r="G32" s="15">
        <v>14</v>
      </c>
      <c r="H32" s="16">
        <f>WORKDAY.INTL(Dashboard!$B$3,F32,"0000001")</f>
        <v>46335</v>
      </c>
      <c r="I32" s="16">
        <f>WORKDAY.INTL(Dashboard!$B$3,G32,"0000001")</f>
        <v>46336</v>
      </c>
      <c r="J32" s="14" t="s">
        <v>127</v>
      </c>
      <c r="K32" s="14" t="s">
        <v>51</v>
      </c>
      <c r="L32" s="15" t="s">
        <v>19</v>
      </c>
      <c r="M32" s="14" t="s">
        <v>135</v>
      </c>
    </row>
    <row r="33" ht="15" customHeight="1" spans="1:13" x14ac:dyDescent="0.25">
      <c r="A33" s="14" t="s">
        <v>136</v>
      </c>
      <c r="B33" s="14" t="s">
        <v>137</v>
      </c>
      <c r="C33" s="14" t="s">
        <v>138</v>
      </c>
      <c r="D33" s="14" t="s">
        <v>139</v>
      </c>
      <c r="E33" s="14" t="s">
        <v>43</v>
      </c>
      <c r="F33" s="15">
        <v>0</v>
      </c>
      <c r="G33" s="15">
        <v>7</v>
      </c>
      <c r="H33" s="16">
        <f>WORKDAY.INTL(Dashboard!$B$3,F33,"0000001")</f>
        <v>46319</v>
      </c>
      <c r="I33" s="16">
        <f>WORKDAY.INTL(Dashboard!$B$3,G33,"0000001")</f>
        <v>46328</v>
      </c>
      <c r="J33" s="14"/>
      <c r="K33" s="14" t="s">
        <v>44</v>
      </c>
      <c r="L33" s="15" t="s">
        <v>18</v>
      </c>
      <c r="M33" s="14" t="s">
        <v>140</v>
      </c>
    </row>
    <row r="34" ht="15" customHeight="1" spans="1:13" x14ac:dyDescent="0.25">
      <c r="A34" s="14" t="s">
        <v>141</v>
      </c>
      <c r="B34" s="14" t="s">
        <v>137</v>
      </c>
      <c r="C34" s="14" t="s">
        <v>142</v>
      </c>
      <c r="D34" s="14" t="s">
        <v>69</v>
      </c>
      <c r="E34" s="14" t="s">
        <v>43</v>
      </c>
      <c r="F34" s="15">
        <v>0</v>
      </c>
      <c r="G34" s="15">
        <v>3</v>
      </c>
      <c r="H34" s="16">
        <f>WORKDAY.INTL(Dashboard!$B$3,F34,"0000001")</f>
        <v>46319</v>
      </c>
      <c r="I34" s="16">
        <f>WORKDAY.INTL(Dashboard!$B$3,G34,"0000001")</f>
        <v>46323</v>
      </c>
      <c r="J34" s="14"/>
      <c r="K34" s="14" t="s">
        <v>44</v>
      </c>
      <c r="L34" s="15" t="s">
        <v>18</v>
      </c>
      <c r="M34" s="14" t="s">
        <v>143</v>
      </c>
    </row>
    <row r="35" ht="15" customHeight="1" spans="1:13" x14ac:dyDescent="0.25">
      <c r="A35" s="14" t="s">
        <v>144</v>
      </c>
      <c r="B35" s="14" t="s">
        <v>137</v>
      </c>
      <c r="C35" s="14" t="s">
        <v>145</v>
      </c>
      <c r="D35" s="14" t="s">
        <v>139</v>
      </c>
      <c r="E35" s="14" t="s">
        <v>43</v>
      </c>
      <c r="F35" s="15">
        <v>7</v>
      </c>
      <c r="G35" s="15">
        <v>21</v>
      </c>
      <c r="H35" s="16">
        <f>WORKDAY.INTL(Dashboard!$B$3,F35,"0000001")</f>
        <v>46328</v>
      </c>
      <c r="I35" s="16">
        <f>WORKDAY.INTL(Dashboard!$B$3,G35,"0000001")</f>
        <v>46344</v>
      </c>
      <c r="J35" s="14" t="s">
        <v>136</v>
      </c>
      <c r="K35" s="14" t="s">
        <v>51</v>
      </c>
      <c r="L35" s="15" t="s">
        <v>18</v>
      </c>
      <c r="M35" s="14" t="s">
        <v>146</v>
      </c>
    </row>
    <row r="36" ht="15" customHeight="1" spans="1:13" x14ac:dyDescent="0.25">
      <c r="A36" s="14" t="s">
        <v>147</v>
      </c>
      <c r="B36" s="14" t="s">
        <v>137</v>
      </c>
      <c r="C36" s="14" t="s">
        <v>148</v>
      </c>
      <c r="D36" s="14" t="s">
        <v>69</v>
      </c>
      <c r="E36" s="14" t="s">
        <v>43</v>
      </c>
      <c r="F36" s="15">
        <v>21</v>
      </c>
      <c r="G36" s="15">
        <v>23</v>
      </c>
      <c r="H36" s="16">
        <f>WORKDAY.INTL(Dashboard!$B$3,F36,"0000001")</f>
        <v>46344</v>
      </c>
      <c r="I36" s="16">
        <f>WORKDAY.INTL(Dashboard!$B$3,G36,"0000001")</f>
        <v>46346</v>
      </c>
      <c r="J36" s="14" t="s">
        <v>144</v>
      </c>
      <c r="K36" s="14" t="s">
        <v>44</v>
      </c>
      <c r="L36" s="15" t="s">
        <v>18</v>
      </c>
      <c r="M36" s="14"/>
    </row>
    <row r="37" ht="15" customHeight="1" spans="1:13" x14ac:dyDescent="0.25">
      <c r="A37" s="14" t="s">
        <v>149</v>
      </c>
      <c r="B37" s="14" t="s">
        <v>150</v>
      </c>
      <c r="C37" s="14" t="s">
        <v>151</v>
      </c>
      <c r="D37" s="14" t="s">
        <v>69</v>
      </c>
      <c r="E37" s="14" t="s">
        <v>43</v>
      </c>
      <c r="F37" s="15">
        <v>22</v>
      </c>
      <c r="G37" s="15">
        <v>24</v>
      </c>
      <c r="H37" s="16">
        <f>WORKDAY.INTL(Dashboard!$B$3,F37,"0000001")</f>
        <v>46345</v>
      </c>
      <c r="I37" s="16">
        <f>WORKDAY.INTL(Dashboard!$B$3,G37,"0000001")</f>
        <v>46347</v>
      </c>
      <c r="J37" s="14" t="s">
        <v>130</v>
      </c>
      <c r="K37" s="14" t="s">
        <v>44</v>
      </c>
      <c r="L37" s="15" t="s">
        <v>18</v>
      </c>
      <c r="M37" s="14"/>
    </row>
    <row r="38" ht="15" customHeight="1" spans="1:13" x14ac:dyDescent="0.25">
      <c r="A38" s="14" t="s">
        <v>152</v>
      </c>
      <c r="B38" s="14" t="s">
        <v>150</v>
      </c>
      <c r="C38" s="14" t="s">
        <v>153</v>
      </c>
      <c r="D38" s="14" t="s">
        <v>115</v>
      </c>
      <c r="E38" s="14" t="s">
        <v>43</v>
      </c>
      <c r="F38" s="15">
        <v>24</v>
      </c>
      <c r="G38" s="15">
        <v>26</v>
      </c>
      <c r="H38" s="16">
        <f>WORKDAY.INTL(Dashboard!$B$3,F38,"0000001")</f>
        <v>46347</v>
      </c>
      <c r="I38" s="16">
        <f>WORKDAY.INTL(Dashboard!$B$3,G38,"0000001")</f>
        <v>46350</v>
      </c>
      <c r="J38" s="14" t="s">
        <v>149</v>
      </c>
      <c r="K38" s="14" t="s">
        <v>51</v>
      </c>
      <c r="L38" s="15" t="s">
        <v>18</v>
      </c>
      <c r="M38" s="14"/>
    </row>
    <row r="39" ht="15" customHeight="1" spans="1:13" x14ac:dyDescent="0.25">
      <c r="A39" s="14" t="s">
        <v>154</v>
      </c>
      <c r="B39" s="14" t="s">
        <v>150</v>
      </c>
      <c r="C39" s="14" t="s">
        <v>155</v>
      </c>
      <c r="D39" s="14" t="s">
        <v>64</v>
      </c>
      <c r="E39" s="14" t="s">
        <v>43</v>
      </c>
      <c r="F39" s="15">
        <v>22</v>
      </c>
      <c r="G39" s="15">
        <v>26</v>
      </c>
      <c r="H39" s="16">
        <f>WORKDAY.INTL(Dashboard!$B$3,F39,"0000001")</f>
        <v>46345</v>
      </c>
      <c r="I39" s="16">
        <f>WORKDAY.INTL(Dashboard!$B$3,G39,"0000001")</f>
        <v>46350</v>
      </c>
      <c r="J39" s="14"/>
      <c r="K39" s="14" t="s">
        <v>51</v>
      </c>
      <c r="L39" s="15" t="s">
        <v>18</v>
      </c>
      <c r="M39" s="14" t="s">
        <v>156</v>
      </c>
    </row>
    <row r="40" ht="15" customHeight="1" spans="1:13" x14ac:dyDescent="0.25">
      <c r="A40" s="14" t="s">
        <v>157</v>
      </c>
      <c r="B40" s="14" t="s">
        <v>150</v>
      </c>
      <c r="C40" s="14" t="s">
        <v>158</v>
      </c>
      <c r="D40" s="14" t="s">
        <v>115</v>
      </c>
      <c r="E40" s="14" t="s">
        <v>43</v>
      </c>
      <c r="F40" s="15">
        <v>26</v>
      </c>
      <c r="G40" s="15">
        <v>27</v>
      </c>
      <c r="H40" s="16">
        <f>WORKDAY.INTL(Dashboard!$B$3,F40,"0000001")</f>
        <v>46350</v>
      </c>
      <c r="I40" s="16">
        <f>WORKDAY.INTL(Dashboard!$B$3,G40,"0000001")</f>
        <v>46351</v>
      </c>
      <c r="J40" s="14" t="s">
        <v>152</v>
      </c>
      <c r="K40" s="14" t="s">
        <v>51</v>
      </c>
      <c r="L40" s="15" t="s">
        <v>18</v>
      </c>
      <c r="M40" s="14"/>
    </row>
    <row r="41" ht="15" customHeight="1" spans="1:13" x14ac:dyDescent="0.25">
      <c r="A41" s="14" t="s">
        <v>159</v>
      </c>
      <c r="B41" s="14" t="s">
        <v>150</v>
      </c>
      <c r="C41" s="14" t="s">
        <v>160</v>
      </c>
      <c r="D41" s="14" t="s">
        <v>64</v>
      </c>
      <c r="E41" s="14" t="s">
        <v>43</v>
      </c>
      <c r="F41" s="15">
        <v>27</v>
      </c>
      <c r="G41" s="15">
        <v>28</v>
      </c>
      <c r="H41" s="16">
        <f>WORKDAY.INTL(Dashboard!$B$3,F41,"0000001")</f>
        <v>46351</v>
      </c>
      <c r="I41" s="16">
        <f>WORKDAY.INTL(Dashboard!$B$3,G41,"0000001")</f>
        <v>46352</v>
      </c>
      <c r="J41" s="14" t="s">
        <v>157</v>
      </c>
      <c r="K41" s="14" t="s">
        <v>51</v>
      </c>
      <c r="L41" s="15" t="s">
        <v>18</v>
      </c>
      <c r="M41" s="14" t="s">
        <v>161</v>
      </c>
    </row>
  </sheetData>
  <autoFilter ref="A1:M41"/>
  <conditionalFormatting sqref="L2:L80">
    <cfRule type="cellIs" dxfId="0" priority="2" operator="equal">
      <formula>"Done"</formula>
    </cfRule>
    <cfRule type="cellIs" dxfId="1" priority="3" operator="equal">
      <formula>"Blocked"</formula>
    </cfRule>
  </conditionalFormatting>
  <dataValidations count="2">
    <dataValidation type="list" allowBlank="1" errorStyle="stop" sqref="L10:L80">
      <formula1>"Not started,In progress,Blocked,Done"</formula1>
      <formula2>0</formula2>
    </dataValidation>
    <dataValidation type="list" allowBlank="1" errorStyle="stop" sqref="L2:L80">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7"/>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2" width="30" style="1" customWidth="1"/>
    <col min="3" max="3" width="20" style="1" customWidth="1"/>
    <col min="4" max="4" width="16" style="1" customWidth="1"/>
    <col min="5" max="5" width="55" style="1" customWidth="1"/>
    <col min="6" max="6" width="14" style="1" customWidth="1"/>
    <col min="7" max="7" width="55" style="1" customWidth="1"/>
  </cols>
  <sheetData>
    <row r="1" ht="15" customHeight="1" spans="1:7" x14ac:dyDescent="0.25">
      <c r="A1" s="13" t="s">
        <v>162</v>
      </c>
      <c r="B1" s="13" t="s">
        <v>163</v>
      </c>
      <c r="C1" s="13" t="s">
        <v>164</v>
      </c>
      <c r="D1" s="13" t="s">
        <v>31</v>
      </c>
      <c r="E1" s="13" t="s">
        <v>165</v>
      </c>
      <c r="F1" s="13" t="s">
        <v>16</v>
      </c>
      <c r="G1" s="13" t="s">
        <v>38</v>
      </c>
    </row>
    <row r="2" ht="15" customHeight="1" spans="1:7" x14ac:dyDescent="0.25">
      <c r="A2" s="14" t="s">
        <v>166</v>
      </c>
      <c r="B2" s="14" t="s">
        <v>167</v>
      </c>
      <c r="C2" s="14" t="s">
        <v>168</v>
      </c>
      <c r="D2" s="14" t="s">
        <v>169</v>
      </c>
      <c r="E2" s="14" t="s">
        <v>170</v>
      </c>
      <c r="F2" s="14" t="s">
        <v>19</v>
      </c>
      <c r="G2" s="14" t="s">
        <v>171</v>
      </c>
    </row>
    <row r="3" ht="15" customHeight="1" spans="1:7" x14ac:dyDescent="0.25">
      <c r="A3" s="14" t="s">
        <v>172</v>
      </c>
      <c r="B3" s="14" t="s">
        <v>173</v>
      </c>
      <c r="C3" s="14" t="s">
        <v>174</v>
      </c>
      <c r="D3" s="14" t="s">
        <v>169</v>
      </c>
      <c r="E3" s="14" t="s">
        <v>175</v>
      </c>
      <c r="F3" s="14" t="s">
        <v>19</v>
      </c>
      <c r="G3" s="14" t="s">
        <v>176</v>
      </c>
    </row>
    <row r="4" ht="15" customHeight="1" spans="1:7" x14ac:dyDescent="0.25">
      <c r="A4" s="14" t="s">
        <v>177</v>
      </c>
      <c r="B4" s="14" t="s">
        <v>178</v>
      </c>
      <c r="C4" s="14" t="s">
        <v>174</v>
      </c>
      <c r="D4" s="14" t="s">
        <v>179</v>
      </c>
      <c r="E4" s="14" t="s">
        <v>180</v>
      </c>
      <c r="F4" s="14" t="s">
        <v>18</v>
      </c>
      <c r="G4" s="14" t="s">
        <v>181</v>
      </c>
    </row>
    <row r="5" ht="23.25" customHeight="1" spans="1:7" x14ac:dyDescent="0.25">
      <c r="A5" s="14" t="s">
        <v>182</v>
      </c>
      <c r="B5" s="14" t="s">
        <v>183</v>
      </c>
      <c r="C5" s="14" t="s">
        <v>184</v>
      </c>
      <c r="D5" s="14" t="s">
        <v>169</v>
      </c>
      <c r="E5" s="14" t="s">
        <v>185</v>
      </c>
      <c r="F5" s="14" t="s">
        <v>19</v>
      </c>
      <c r="G5" s="14" t="s">
        <v>186</v>
      </c>
    </row>
    <row r="6" ht="15" customHeight="1" spans="1:7" x14ac:dyDescent="0.25">
      <c r="A6" s="14" t="s">
        <v>187</v>
      </c>
      <c r="B6" s="14" t="s">
        <v>188</v>
      </c>
      <c r="C6" s="14" t="s">
        <v>184</v>
      </c>
      <c r="D6" s="14" t="s">
        <v>179</v>
      </c>
      <c r="E6" s="14" t="s">
        <v>189</v>
      </c>
      <c r="F6" s="14" t="s">
        <v>18</v>
      </c>
      <c r="G6" s="14" t="s">
        <v>190</v>
      </c>
    </row>
    <row r="7" ht="15" customHeight="1" spans="1:7" x14ac:dyDescent="0.25">
      <c r="A7" s="14" t="s">
        <v>191</v>
      </c>
      <c r="B7" s="14" t="s">
        <v>192</v>
      </c>
      <c r="C7" s="14" t="s">
        <v>193</v>
      </c>
      <c r="D7" s="14" t="s">
        <v>169</v>
      </c>
      <c r="E7" s="14" t="s">
        <v>194</v>
      </c>
      <c r="F7" s="14" t="s">
        <v>18</v>
      </c>
      <c r="G7" s="14" t="s">
        <v>195</v>
      </c>
    </row>
    <row r="8" ht="15" customHeight="1" spans="1:7" x14ac:dyDescent="0.25">
      <c r="A8" s="14" t="s">
        <v>196</v>
      </c>
      <c r="B8" s="14" t="s">
        <v>197</v>
      </c>
      <c r="C8" s="14" t="s">
        <v>193</v>
      </c>
      <c r="D8" s="14" t="s">
        <v>169</v>
      </c>
      <c r="E8" s="14" t="s">
        <v>198</v>
      </c>
      <c r="F8" s="14" t="s">
        <v>18</v>
      </c>
      <c r="G8" s="14"/>
    </row>
    <row r="9" ht="15" customHeight="1" spans="1:7" x14ac:dyDescent="0.25">
      <c r="A9" s="14" t="s">
        <v>199</v>
      </c>
      <c r="B9" s="14" t="s">
        <v>200</v>
      </c>
      <c r="C9" s="14" t="s">
        <v>193</v>
      </c>
      <c r="D9" s="14" t="s">
        <v>169</v>
      </c>
      <c r="E9" s="14" t="s">
        <v>201</v>
      </c>
      <c r="F9" s="14" t="s">
        <v>18</v>
      </c>
      <c r="G9" s="14" t="s">
        <v>202</v>
      </c>
    </row>
    <row r="10" ht="15" customHeight="1" spans="1:7" x14ac:dyDescent="0.25">
      <c r="A10" s="14" t="s">
        <v>203</v>
      </c>
      <c r="B10" s="14" t="s">
        <v>204</v>
      </c>
      <c r="C10" s="14" t="s">
        <v>184</v>
      </c>
      <c r="D10" s="14" t="s">
        <v>205</v>
      </c>
      <c r="E10" s="14" t="s">
        <v>206</v>
      </c>
      <c r="F10" s="14" t="s">
        <v>18</v>
      </c>
      <c r="G10" s="14" t="s">
        <v>207</v>
      </c>
    </row>
    <row r="11" ht="15" customHeight="1" spans="1:7" x14ac:dyDescent="0.25">
      <c r="A11" s="14" t="s">
        <v>208</v>
      </c>
      <c r="B11" s="14" t="s">
        <v>209</v>
      </c>
      <c r="C11" s="14" t="s">
        <v>210</v>
      </c>
      <c r="D11" s="14" t="s">
        <v>169</v>
      </c>
      <c r="E11" s="14" t="s">
        <v>211</v>
      </c>
      <c r="F11" s="14" t="s">
        <v>18</v>
      </c>
      <c r="G11" s="14" t="s">
        <v>212</v>
      </c>
    </row>
    <row r="12" ht="15" customHeight="1" spans="1:7" x14ac:dyDescent="0.25">
      <c r="A12" s="14" t="s">
        <v>213</v>
      </c>
      <c r="B12" s="14" t="s">
        <v>214</v>
      </c>
      <c r="C12" s="14" t="s">
        <v>184</v>
      </c>
      <c r="D12" s="14" t="s">
        <v>179</v>
      </c>
      <c r="E12" s="14" t="s">
        <v>215</v>
      </c>
      <c r="F12" s="14" t="s">
        <v>18</v>
      </c>
      <c r="G12" s="14" t="s">
        <v>216</v>
      </c>
    </row>
    <row r="13" ht="15" customHeight="1" spans="1:7" x14ac:dyDescent="0.25">
      <c r="A13" s="14" t="s">
        <v>217</v>
      </c>
      <c r="B13" s="14" t="s">
        <v>218</v>
      </c>
      <c r="C13" s="14" t="s">
        <v>210</v>
      </c>
      <c r="D13" s="14" t="s">
        <v>169</v>
      </c>
      <c r="E13" s="14" t="s">
        <v>219</v>
      </c>
      <c r="F13" s="14" t="s">
        <v>18</v>
      </c>
      <c r="G13" s="14" t="s">
        <v>220</v>
      </c>
    </row>
    <row r="14" ht="15" customHeight="1" spans="1:7" x14ac:dyDescent="0.25">
      <c r="A14" s="14" t="s">
        <v>221</v>
      </c>
      <c r="B14" s="14" t="s">
        <v>222</v>
      </c>
      <c r="C14" s="14" t="s">
        <v>210</v>
      </c>
      <c r="D14" s="14" t="s">
        <v>205</v>
      </c>
      <c r="E14" s="14" t="s">
        <v>223</v>
      </c>
      <c r="F14" s="14" t="s">
        <v>18</v>
      </c>
      <c r="G14" s="14" t="s">
        <v>224</v>
      </c>
    </row>
    <row r="15" ht="15" customHeight="1" spans="1:7" x14ac:dyDescent="0.25">
      <c r="A15" s="14" t="s">
        <v>225</v>
      </c>
      <c r="B15" s="14" t="s">
        <v>226</v>
      </c>
      <c r="C15" s="14" t="s">
        <v>210</v>
      </c>
      <c r="D15" s="14" t="s">
        <v>205</v>
      </c>
      <c r="E15" s="14" t="s">
        <v>227</v>
      </c>
      <c r="F15" s="14" t="s">
        <v>18</v>
      </c>
      <c r="G15" s="14" t="s">
        <v>228</v>
      </c>
    </row>
    <row r="16" ht="15" customHeight="1" spans="1:7" x14ac:dyDescent="0.25">
      <c r="A16" s="14" t="s">
        <v>229</v>
      </c>
      <c r="B16" s="14" t="s">
        <v>230</v>
      </c>
      <c r="C16" s="14" t="s">
        <v>210</v>
      </c>
      <c r="D16" s="14" t="s">
        <v>231</v>
      </c>
      <c r="E16" s="14" t="s">
        <v>232</v>
      </c>
      <c r="F16" s="14" t="s">
        <v>18</v>
      </c>
      <c r="G16" s="14" t="s">
        <v>233</v>
      </c>
    </row>
    <row r="17" ht="15" customHeight="1" spans="1:7" x14ac:dyDescent="0.25">
      <c r="A17" s="14" t="s">
        <v>234</v>
      </c>
      <c r="B17" s="14" t="s">
        <v>235</v>
      </c>
      <c r="C17" s="14" t="s">
        <v>174</v>
      </c>
      <c r="D17" s="14" t="s">
        <v>231</v>
      </c>
      <c r="E17" s="14" t="s">
        <v>236</v>
      </c>
      <c r="F17" s="14" t="s">
        <v>18</v>
      </c>
      <c r="G17" s="14" t="s">
        <v>237</v>
      </c>
    </row>
  </sheetData>
  <dataValidations count="2">
    <dataValidation type="list" allowBlank="1" errorStyle="stop" sqref="F10:F17">
      <formula1>"Not started,In progress,Blocked,Done"</formula1>
      <formula2>0</formula2>
    </dataValidation>
    <dataValidation type="list" allowBlank="1" errorStyle="stop" sqref="F2:F17">
      <formula1>"Not started,In progress,Blocked,Done"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 style="1" customWidth="1"/>
    <col min="2" max="2" width="55" style="1" customWidth="1"/>
    <col min="3" max="3" width="40" style="1" customWidth="1"/>
    <col min="4" max="6" width="14" style="1" customWidth="1"/>
    <col min="7" max="7" width="50" style="1" customWidth="1"/>
  </cols>
  <sheetData>
    <row r="1" ht="26.25" customHeight="1" spans="1:7" x14ac:dyDescent="0.25">
      <c r="A1" s="13" t="s">
        <v>238</v>
      </c>
      <c r="B1" s="13" t="s">
        <v>239</v>
      </c>
      <c r="C1" s="13" t="s">
        <v>240</v>
      </c>
      <c r="D1" s="13" t="s">
        <v>241</v>
      </c>
      <c r="E1" s="13" t="s">
        <v>16</v>
      </c>
      <c r="F1" s="13" t="s">
        <v>242</v>
      </c>
      <c r="G1" s="13" t="s">
        <v>38</v>
      </c>
    </row>
    <row r="2" ht="15" customHeight="1" spans="1:7" x14ac:dyDescent="0.25">
      <c r="A2" s="14">
        <v>1</v>
      </c>
      <c r="B2" s="14" t="s">
        <v>243</v>
      </c>
      <c r="C2" s="14" t="s">
        <v>244</v>
      </c>
      <c r="D2" s="14" t="s">
        <v>42</v>
      </c>
      <c r="E2" s="15" t="s">
        <v>18</v>
      </c>
      <c r="F2" s="15"/>
      <c r="G2" s="14"/>
    </row>
    <row r="3" ht="15" customHeight="1" spans="1:7" x14ac:dyDescent="0.25">
      <c r="A3" s="14">
        <v>2</v>
      </c>
      <c r="B3" s="14" t="s">
        <v>245</v>
      </c>
      <c r="C3" s="14" t="s">
        <v>246</v>
      </c>
      <c r="D3" s="14" t="s">
        <v>42</v>
      </c>
      <c r="E3" s="15" t="s">
        <v>18</v>
      </c>
      <c r="F3" s="15"/>
      <c r="G3" s="14" t="s">
        <v>247</v>
      </c>
    </row>
    <row r="4" ht="15" customHeight="1" spans="1:7" x14ac:dyDescent="0.25">
      <c r="A4" s="14">
        <v>3</v>
      </c>
      <c r="B4" s="14" t="s">
        <v>248</v>
      </c>
      <c r="C4" s="14" t="s">
        <v>249</v>
      </c>
      <c r="D4" s="14" t="s">
        <v>64</v>
      </c>
      <c r="E4" s="15" t="s">
        <v>18</v>
      </c>
      <c r="F4" s="15"/>
      <c r="G4" s="14" t="s">
        <v>250</v>
      </c>
    </row>
    <row r="5" ht="15" customHeight="1" spans="1:7" x14ac:dyDescent="0.25">
      <c r="A5" s="14">
        <v>4</v>
      </c>
      <c r="B5" s="14" t="s">
        <v>251</v>
      </c>
      <c r="C5" s="14" t="s">
        <v>252</v>
      </c>
      <c r="D5" s="14" t="s">
        <v>64</v>
      </c>
      <c r="E5" s="15" t="s">
        <v>18</v>
      </c>
      <c r="F5" s="15"/>
      <c r="G5" s="14" t="s">
        <v>253</v>
      </c>
    </row>
    <row r="6" ht="15" customHeight="1" spans="1:7" x14ac:dyDescent="0.25">
      <c r="A6" s="14">
        <v>5</v>
      </c>
      <c r="B6" s="14" t="s">
        <v>254</v>
      </c>
      <c r="C6" s="14" t="s">
        <v>255</v>
      </c>
      <c r="D6" s="14" t="s">
        <v>64</v>
      </c>
      <c r="E6" s="15" t="s">
        <v>18</v>
      </c>
      <c r="F6" s="15"/>
      <c r="G6" s="14" t="s">
        <v>256</v>
      </c>
    </row>
    <row r="7" ht="15" customHeight="1" spans="1:7" x14ac:dyDescent="0.25">
      <c r="A7" s="14">
        <v>6</v>
      </c>
      <c r="B7" s="14" t="s">
        <v>257</v>
      </c>
      <c r="C7" s="14" t="s">
        <v>258</v>
      </c>
      <c r="D7" s="14" t="s">
        <v>42</v>
      </c>
      <c r="E7" s="15" t="s">
        <v>18</v>
      </c>
      <c r="F7" s="15"/>
      <c r="G7" s="14" t="s">
        <v>259</v>
      </c>
    </row>
    <row r="8" ht="15" customHeight="1" spans="1:7" x14ac:dyDescent="0.25">
      <c r="A8" s="14">
        <v>7</v>
      </c>
      <c r="B8" s="14" t="s">
        <v>260</v>
      </c>
      <c r="C8" s="14" t="s">
        <v>261</v>
      </c>
      <c r="D8" s="14" t="s">
        <v>42</v>
      </c>
      <c r="E8" s="15" t="s">
        <v>18</v>
      </c>
      <c r="F8" s="15"/>
      <c r="G8" s="14" t="s">
        <v>262</v>
      </c>
    </row>
    <row r="9" ht="15" customHeight="1" spans="1:7" x14ac:dyDescent="0.25">
      <c r="A9" s="14">
        <v>8</v>
      </c>
      <c r="B9" s="14" t="s">
        <v>263</v>
      </c>
      <c r="C9" s="14" t="s">
        <v>264</v>
      </c>
      <c r="D9" s="14" t="s">
        <v>64</v>
      </c>
      <c r="E9" s="15" t="s">
        <v>18</v>
      </c>
      <c r="F9" s="15"/>
      <c r="G9" s="14" t="s">
        <v>265</v>
      </c>
    </row>
    <row r="10" ht="15" customHeight="1" spans="1:7" x14ac:dyDescent="0.25">
      <c r="A10" s="14">
        <v>9</v>
      </c>
      <c r="B10" s="14" t="s">
        <v>266</v>
      </c>
      <c r="C10" s="14" t="s">
        <v>267</v>
      </c>
      <c r="D10" s="14" t="s">
        <v>64</v>
      </c>
      <c r="E10" s="15" t="s">
        <v>18</v>
      </c>
      <c r="F10" s="15"/>
      <c r="G10" s="14"/>
    </row>
    <row r="11" ht="23.25" customHeight="1" spans="1:7" x14ac:dyDescent="0.25">
      <c r="A11" s="14">
        <v>10</v>
      </c>
      <c r="B11" s="14" t="s">
        <v>268</v>
      </c>
      <c r="C11" s="14" t="s">
        <v>269</v>
      </c>
      <c r="D11" s="14" t="s">
        <v>42</v>
      </c>
      <c r="E11" s="15" t="s">
        <v>18</v>
      </c>
      <c r="F11" s="15"/>
      <c r="G11" s="14" t="s">
        <v>270</v>
      </c>
    </row>
  </sheetData>
  <dataValidations count="2">
    <dataValidation type="list" allowBlank="1" errorStyle="stop" sqref="E10:E11">
      <formula1>"Not started,Requested,Received,Overdue"</formula1>
      <formula2>0</formula2>
    </dataValidation>
    <dataValidation type="list" allowBlank="1" errorStyle="stop" sqref="E2:E11">
      <formula1>"Not started,Requested,Received,Overdue"</formula1>
      <formula2>0</formula2>
    </dataValidation>
  </dataValidation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workbookViewId="0" zoomScale="100" zoomScaleNormal="100" view="normal">
      <pane xSplit="1" ySplit="1" topLeftCell="B2" activePane="bottomRight" state="frozen"/>
      <selection pane="bottomRight" activeCell="A1" sqref="A1"/>
    </sheetView>
  </sheetViews>
  <sheetFormatPr defaultRowHeight="15" outlineLevelRow="0" outlineLevelCol="0" x14ac:dyDescent="0" defaultColWidth="8.6796875"/>
  <cols>
    <col min="1" max="1" width="55" style="1" customWidth="1"/>
    <col min="2" max="2" width="45" style="1" customWidth="1"/>
    <col min="3" max="3" width="24" style="1" customWidth="1"/>
    <col min="4" max="4" width="50" style="1" customWidth="1"/>
  </cols>
  <sheetData>
    <row r="1" ht="15" customHeight="1" spans="1:4" x14ac:dyDescent="0.25">
      <c r="A1" s="13" t="s">
        <v>271</v>
      </c>
      <c r="B1" s="13" t="s">
        <v>272</v>
      </c>
      <c r="C1" s="13" t="s">
        <v>16</v>
      </c>
      <c r="D1" s="13" t="s">
        <v>273</v>
      </c>
    </row>
    <row r="2" ht="23.25" customHeight="1" spans="1:4" x14ac:dyDescent="0.25">
      <c r="A2" s="14" t="s">
        <v>274</v>
      </c>
      <c r="B2" s="14" t="s">
        <v>275</v>
      </c>
      <c r="C2" s="15" t="s">
        <v>276</v>
      </c>
      <c r="D2" s="14" t="s">
        <v>277</v>
      </c>
    </row>
    <row r="3" ht="15" customHeight="1" spans="1:4" x14ac:dyDescent="0.25">
      <c r="A3" s="14" t="s">
        <v>278</v>
      </c>
      <c r="B3" s="14" t="s">
        <v>279</v>
      </c>
      <c r="C3" s="15" t="s">
        <v>276</v>
      </c>
      <c r="D3" s="14" t="s">
        <v>280</v>
      </c>
    </row>
    <row r="4" ht="23.25" customHeight="1" spans="1:4" x14ac:dyDescent="0.25">
      <c r="A4" s="14" t="s">
        <v>281</v>
      </c>
      <c r="B4" s="14" t="s">
        <v>282</v>
      </c>
      <c r="C4" s="15" t="s">
        <v>283</v>
      </c>
      <c r="D4" s="14" t="s">
        <v>284</v>
      </c>
    </row>
    <row r="5" ht="15" customHeight="1" spans="1:4" x14ac:dyDescent="0.25">
      <c r="A5" s="14" t="s">
        <v>285</v>
      </c>
      <c r="B5" s="14" t="s">
        <v>279</v>
      </c>
      <c r="C5" s="15" t="s">
        <v>286</v>
      </c>
      <c r="D5" s="14" t="s">
        <v>287</v>
      </c>
    </row>
    <row r="6" ht="15" customHeight="1" spans="1:4" x14ac:dyDescent="0.25">
      <c r="A6" s="14" t="s">
        <v>288</v>
      </c>
      <c r="B6" s="14" t="s">
        <v>275</v>
      </c>
      <c r="C6" s="15" t="s">
        <v>276</v>
      </c>
      <c r="D6" s="14" t="s">
        <v>289</v>
      </c>
    </row>
    <row r="7" ht="15" customHeight="1" spans="1:4" x14ac:dyDescent="0.25">
      <c r="A7" s="14" t="s">
        <v>290</v>
      </c>
      <c r="B7" s="14" t="s">
        <v>275</v>
      </c>
      <c r="C7" s="15" t="s">
        <v>276</v>
      </c>
      <c r="D7" s="14" t="s">
        <v>291</v>
      </c>
    </row>
    <row r="8" ht="15" customHeight="1" spans="1:4" x14ac:dyDescent="0.25">
      <c r="A8" s="14" t="s">
        <v>292</v>
      </c>
      <c r="B8" s="14" t="s">
        <v>275</v>
      </c>
      <c r="C8" s="15" t="s">
        <v>293</v>
      </c>
      <c r="D8" s="14" t="s">
        <v>294</v>
      </c>
    </row>
    <row r="9" ht="15" customHeight="1" spans="1:4" x14ac:dyDescent="0.25">
      <c r="A9" s="14" t="s">
        <v>295</v>
      </c>
      <c r="B9" s="14" t="s">
        <v>275</v>
      </c>
      <c r="C9" s="15" t="s">
        <v>276</v>
      </c>
      <c r="D9" s="14" t="s">
        <v>296</v>
      </c>
    </row>
    <row r="10" ht="15" customHeight="1" spans="1:4" x14ac:dyDescent="0.25">
      <c r="A10" s="14" t="s">
        <v>297</v>
      </c>
      <c r="B10" s="14" t="s">
        <v>298</v>
      </c>
      <c r="C10" s="15" t="s">
        <v>299</v>
      </c>
      <c r="D10" s="14" t="s">
        <v>300</v>
      </c>
    </row>
    <row r="11" ht="15" customHeight="1" spans="1:4" x14ac:dyDescent="0.25">
      <c r="A11" s="14" t="s">
        <v>301</v>
      </c>
      <c r="B11" s="14" t="s">
        <v>275</v>
      </c>
      <c r="C11" s="15" t="s">
        <v>299</v>
      </c>
      <c r="D11" s="14" t="s">
        <v>302</v>
      </c>
    </row>
    <row r="12" ht="15" customHeight="1" spans="1:4" x14ac:dyDescent="0.25">
      <c r="A12" s="14" t="s">
        <v>303</v>
      </c>
      <c r="B12" s="14" t="s">
        <v>304</v>
      </c>
      <c r="C12" s="15" t="s">
        <v>305</v>
      </c>
      <c r="D12" s="14" t="s">
        <v>306</v>
      </c>
    </row>
    <row r="13" ht="15" customHeight="1" spans="1:4" x14ac:dyDescent="0.25">
      <c r="A13" s="14" t="s">
        <v>307</v>
      </c>
      <c r="B13" s="14" t="s">
        <v>308</v>
      </c>
      <c r="C13" s="15" t="s">
        <v>309</v>
      </c>
      <c r="D13" s="14" t="s">
        <v>310</v>
      </c>
    </row>
    <row r="14" ht="15" customHeight="1" spans="1:4" x14ac:dyDescent="0.25">
      <c r="A14" s="14" t="s">
        <v>311</v>
      </c>
      <c r="B14" s="14" t="s">
        <v>312</v>
      </c>
      <c r="C14" s="15" t="s">
        <v>237</v>
      </c>
      <c r="D14" s="14" t="s">
        <v>313</v>
      </c>
    </row>
    <row r="15" spans="1:4" x14ac:dyDescent="0.25">
      <c r="A15" s="1" t="s">
        <v>314</v>
      </c>
      <c r="B15" s="1" t="s">
        <v>315</v>
      </c>
      <c r="C15" s="1" t="s">
        <v>276</v>
      </c>
      <c r="D15" s="1" t="s">
        <v>316</v>
      </c>
    </row>
    <row r="16" spans="1:4" x14ac:dyDescent="0.25">
      <c r="A16" s="1" t="s">
        <v>317</v>
      </c>
      <c r="B16" s="1" t="s">
        <v>318</v>
      </c>
      <c r="C16" s="1" t="s">
        <v>276</v>
      </c>
      <c r="D16" s="1" t="s">
        <v>319</v>
      </c>
    </row>
    <row r="17" spans="1:4" x14ac:dyDescent="0.25">
      <c r="A17" s="1" t="s">
        <v>320</v>
      </c>
      <c r="B17" s="1" t="s">
        <v>321</v>
      </c>
      <c r="C17" s="1" t="s">
        <v>276</v>
      </c>
      <c r="D17" s="1" t="s">
        <v>322</v>
      </c>
    </row>
    <row r="18" spans="1:4" x14ac:dyDescent="0.25">
      <c r="A18" s="1" t="s">
        <v>323</v>
      </c>
      <c r="B18" s="1" t="s">
        <v>324</v>
      </c>
      <c r="C18" s="1" t="s">
        <v>276</v>
      </c>
      <c r="D18" s="1" t="s">
        <v>325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Dashboard</vt:lpstr>
      <vt:lpstr>Tracker</vt:lpstr>
      <vt:lpstr>Sitemap</vt:lpstr>
      <vt:lpstr>Client Inputs</vt:lpstr>
      <vt:lpstr>Claims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2026-10-23T10:02:15Z</dcterms:created>
  <dcterms:modified xsi:type="dcterms:W3CDTF">2026-10-23T10:02:42Z</dcterms:modified>
</cp:coreProperties>
</file>