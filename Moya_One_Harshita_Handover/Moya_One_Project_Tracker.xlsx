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README" state="visible" r:id="rId4"/>
    <sheet sheetId="2" name="Dashboard" state="visible" r:id="rId5"/>
    <sheet sheetId="3" name="Tracker" state="visible" r:id="rId6"/>
    <sheet sheetId="4" name="Sitemap" state="visible" r:id="rId7"/>
    <sheet sheetId="5" name="Client Inputs" state="visible" r:id="rId8"/>
    <sheet sheetId="6" name="Claims" state="visible" r:id="rId9"/>
  </sheets>
  <definedNames>
    <definedName name="_xlnm._FilterDatabase">Tracker!$A$1:$M$41</definedName>
  </definedNames>
  <calcPr calcId="171027"/>
</workbook>
</file>

<file path=xl/sharedStrings.xml><?xml version="1.0" encoding="utf-8"?>
<sst xmlns="http://schemas.openxmlformats.org/spreadsheetml/2006/main" count="624" uniqueCount="326">
  <si>
    <t>Moya One website: project tracker</t>
  </si>
  <si>
    <t>Hand this to the developer. Everything she needs to plan and report is in these tabs.</t>
  </si>
  <si>
    <t>How to use</t>
  </si>
  <si>
    <t>1. Dashboard: enter the kickoff date in the yellow cell. All task dates recalculate from it.</t>
  </si>
  <si>
    <t>2. Tracker: one row per task. Update Status (dropdown) and Notes. Do not change IDs.</t>
  </si>
  <si>
    <t>4. Client Inputs: everything we are waiting on from Omar. Chase these first.</t>
  </si>
  <si>
    <t>5. Claims: every factual claim for the site, and whether it can be published yet.</t>
  </si>
  <si>
    <t>Colour key</t>
  </si>
  <si>
    <t>Design audit: after every change, the developer runs the taste and impeccable skills and fixes anything that looks vibe-coded. Record "Audit: pass" in Notes. See CLAUDE.md.</t>
  </si>
  <si>
    <t>Yellow cell = editable input. Black text = formula, do not overwrite.</t>
  </si>
  <si>
    <t>Status values</t>
  </si>
  <si>
    <t>Not started, In progress, Blocked, Done. Mark Blocked and add the reason in Notes.</t>
  </si>
  <si>
    <t>Kickoff date is Sat 24 Oct 2026. Change it if the agreement is signed later. Change it when the agreement is signed.</t>
  </si>
  <si>
    <t>Day numbers are working days (Mon to Sat, Sunday off). Timeline: 4 weeks total (3 build, 1 test), per the call on 2026-10-22. Video is included in that window and is flagged as a risk.</t>
  </si>
  <si>
    <t>Moya One: dashboard</t>
  </si>
  <si>
    <t>Kickoff date (edit)</t>
  </si>
  <si>
    <t>Status</t>
  </si>
  <si>
    <t>Tasks</t>
  </si>
  <si>
    <t>Not started</t>
  </si>
  <si>
    <t>In progress</t>
  </si>
  <si>
    <t>Blocked</t>
  </si>
  <si>
    <t>Done</t>
  </si>
  <si>
    <t>Total tasks</t>
  </si>
  <si>
    <t>Percent done</t>
  </si>
  <si>
    <t>Overdue (end date passed, not Done)</t>
  </si>
  <si>
    <t>Tasks waiting on client</t>
  </si>
  <si>
    <t>Project end date (last task)</t>
  </si>
  <si>
    <t>ID</t>
  </si>
  <si>
    <t>Workstream</t>
  </si>
  <si>
    <t>Task</t>
  </si>
  <si>
    <t>Owner</t>
  </si>
  <si>
    <t>Priority</t>
  </si>
  <si>
    <t>Start (working day)</t>
  </si>
  <si>
    <t>End (working day)</t>
  </si>
  <si>
    <t>Start date</t>
  </si>
  <si>
    <t>End date</t>
  </si>
  <si>
    <t>Depends on</t>
  </si>
  <si>
    <t>Needs client input</t>
  </si>
  <si>
    <t>Notes</t>
  </si>
  <si>
    <t>B1</t>
  </si>
  <si>
    <t>Brand</t>
  </si>
  <si>
    <t>Collect logo variations (4 to 5) from client's team</t>
  </si>
  <si>
    <t>Vinayak</t>
  </si>
  <si>
    <t>Must</t>
  </si>
  <si>
    <t>Yes</t>
  </si>
  <si>
    <t>Client said the logo team will send 4 to 5 options</t>
  </si>
  <si>
    <t>B2</t>
  </si>
  <si>
    <t>Collect client's colour and logo preferences</t>
  </si>
  <si>
    <t>Client has no brand guidelines yet</t>
  </si>
  <si>
    <t>B3</t>
  </si>
  <si>
    <t>Lock palette (base, orange, yellow highlight, ink, grey, water blue)</t>
  </si>
  <si>
    <t>No</t>
  </si>
  <si>
    <t>Chosen by Vinayak. See DESIGN.md</t>
  </si>
  <si>
    <t>B4</t>
  </si>
  <si>
    <t>Lock typography and heading scale</t>
  </si>
  <si>
    <t>Build from DESIGN.md type scale</t>
  </si>
  <si>
    <t>B5</t>
  </si>
  <si>
    <t>Lock iconography set (one line weight, one style)</t>
  </si>
  <si>
    <t>Phosphor icons used in current build</t>
  </si>
  <si>
    <t>B6</t>
  </si>
  <si>
    <t>Show 2 luxury-and-convenience direction options to Rayansh</t>
  </si>
  <si>
    <t>Rayansh signs off before design work continues</t>
  </si>
  <si>
    <t>B7</t>
  </si>
  <si>
    <t>Confirm patent wording: 'patent filed', not 'patented'</t>
  </si>
  <si>
    <t>Rayansh</t>
  </si>
  <si>
    <t>Client said 'patented' but later said filed and not examined</t>
  </si>
  <si>
    <t>C1</t>
  </si>
  <si>
    <t>Content</t>
  </si>
  <si>
    <t>Receive presentation PDFs and product details</t>
  </si>
  <si>
    <t>Omar (client)</t>
  </si>
  <si>
    <t>Promised by end of day 19 Oct. Chase</t>
  </si>
  <si>
    <t>C2</t>
  </si>
  <si>
    <t>Receive 'How we work' document (water flow, filter stages)</t>
  </si>
  <si>
    <t>Client will share. Use only what is claimable</t>
  </si>
  <si>
    <t>C3</t>
  </si>
  <si>
    <t>Verify zero water wastage and 3LD claims with client's technical team</t>
  </si>
  <si>
    <t>Do not publish until verified. See Claims tab</t>
  </si>
  <si>
    <t>C4</t>
  </si>
  <si>
    <t>Product facts sheet: what can be said and how it is sourced</t>
  </si>
  <si>
    <t>C5</t>
  </si>
  <si>
    <t>Write home page copy (consumer first)</t>
  </si>
  <si>
    <t>Headline: 'Get rid of the hassle.'</t>
  </si>
  <si>
    <t>C6</t>
  </si>
  <si>
    <t>Write builders page copy</t>
  </si>
  <si>
    <t>C7</t>
  </si>
  <si>
    <t>Write comparison page copy (bottles, RO filters)</t>
  </si>
  <si>
    <t>Qualitative claims only until C3 is done</t>
  </si>
  <si>
    <t>C8</t>
  </si>
  <si>
    <t>Write environment page copy</t>
  </si>
  <si>
    <t>C9</t>
  </si>
  <si>
    <t>Write contact and footer copy; replace placeholder email</t>
  </si>
  <si>
    <t>Client to confirm the contact address</t>
  </si>
  <si>
    <t>D1</t>
  </si>
  <si>
    <t>Design</t>
  </si>
  <si>
    <t>Moodboard: luxury and convenience reference set (5 to 8 sites)</t>
  </si>
  <si>
    <t>Avoid templates and generic SaaS look</t>
  </si>
  <si>
    <t>D2</t>
  </si>
  <si>
    <t>Bottle illustration: 20-litre jug (wide body, short neck)</t>
  </si>
  <si>
    <t>Replaces the battery-shaped drawing | 23 Oct (Harshita): Standalone 20-litre jug SVG drawn to CLAUDE.md proportions (public/illustrations/jug.svg). Send to Vinayak on WhatsApp for sign-off before reuse.</t>
  </si>
  <si>
    <t>D3</t>
  </si>
  <si>
    <t>Hero scene: stick figure and branded dustbin</t>
  </si>
  <si>
    <t>Cap generic, dustbin Moya One branded | 23 Oct (Harshita): Vinayak approved the 3D kitchen hero (marble, walnut, two taps, Moya1™ unit, phone recharge film). It replaces the stick figure and dustbin concept. DD3 closed.</t>
  </si>
  <si>
    <t>D4</t>
  </si>
  <si>
    <t>Basement and control room illustration (isometric, basic, no tech detail)</t>
  </si>
  <si>
    <t>Client wants more machinery; keep it evocative, not a schematic | 23 Oct (Harshita): Vinayak asked for realistic machinery, valves and real piping. Built in lib/three/plantRoom.js: storage tanks with sight glasses, two pump sets, gate and lever valves with handwheels, gauges, delivery header to the riser, control cabinet, cable trays. No labels or part names (non-negotiable 7). Send 390/1440 screenshots to Vinayak.</t>
  </si>
  <si>
    <t>D5</t>
  </si>
  <si>
    <t>Key screens: desktop and 390px mobile for home and builders</t>
  </si>
  <si>
    <t>D6</t>
  </si>
  <si>
    <t>Component library: buttons, headings, cards, tables, nav</t>
  </si>
  <si>
    <t>D7</t>
  </si>
  <si>
    <t>Client sign-off on design</t>
  </si>
  <si>
    <t>Also needs Rayansh sign-off first</t>
  </si>
  <si>
    <t>E1</t>
  </si>
  <si>
    <t>Build</t>
  </si>
  <si>
    <t>Project setup: framework, GSAP, Lenis, fonts, icons</t>
  </si>
  <si>
    <t>Harshita</t>
  </si>
  <si>
    <t>Next.js, Nuxt or Vite. Developer's choice; justify it in README | 23 Oct (Harshita): Next.js (App Router, JavaScript), GSAP + ScrollTrigger, Phosphor Regular, three.js, fonts self-hosted via next/font. Lenis not used: it broke programmatic and anchor scrolling in testing (DESIGN.md §7 allows it only if native scroll is unaffected). Initial JS about 175KB gzip vs 100KB target (Next.js + React runtime is about 160KB).</t>
  </si>
  <si>
    <t>E2</t>
  </si>
  <si>
    <t>Build home page (consumer first, builders teaser)</t>
  </si>
  <si>
    <t>23 Oct (Harshita): Home built and approved hero in place; Moya1™ added; unconfirmed product lines marked PLACEHOLDER (see Claims). Audit: not a full pass yet. Impeccable detect 0 findings; Taste lint 0 FAIL (1 WARN: Inter flagged as a default face, pinned by DESIGN.md). Taste inspect leaves 2 FAILs as documented exceptions for Vinayak: few-pictures (CLAUDE.md requires SVG/3D and bans stock imagery) and covered-text (sticky 3D stage on phones; floating WhatsApp button).</t>
  </si>
  <si>
    <t>E3</t>
  </si>
  <si>
    <t>Build builders page (with embedded MP4 video)</t>
  </si>
  <si>
    <t>Video is an MP4 file, not a coded animation | 23 Oct (Harshita): Builders page built (/b2b/builders): dark hero with a 3D tower that builds itself floor by floor as the line rises (new construct mode), ledger of what it asks of a project beside the 3D kitchen close-up, explainer film slot, reference projects, enquiry close. Not done: the brief requires the MP4 to play on mobile and the approved cut does not exist yet (F3, F4); the slot lazy-loads it once BUILDER_VIDEO.src is set in lib/content.js. Reference projects are placeholders marked "To confirm" (no names). "No retrofit", "No lost space" and "its own plant room" marked PLACEHOLDER (Claims: To confirm). Enquiry goes to the placeholder email until /contact exists. Audit: not a full pass yet. Impeccable detect 0 findings; Taste lint 0 FAIL (1 WARN: Inter, pinned by DESIGN.md). Taste inspect leaves 2 FAILs as documented exceptions for Vinayak: few-pictures (CLAUDE.md requires SVG/3D, no stock imagery) and covered-text (floating WhatsApp button at 390px). 390px and 1440px: no horizontal scroll. Reduced motion: final state, no hidden text.</t>
  </si>
  <si>
    <t>E4</t>
  </si>
  <si>
    <t>Build comparison hub and comparison pages</t>
  </si>
  <si>
    <t>E5</t>
  </si>
  <si>
    <t>Build environment, technology and contact pages</t>
  </si>
  <si>
    <t>E6</t>
  </si>
  <si>
    <t>Build interactions: recharge demo, app panel, how it works</t>
  </si>
  <si>
    <t>Keep numbers labelled 'sample' | 23 Oct (Harshita): Home: sample recharge demo, 3D kitchen film, tower climb with floor counter (Illustrative). How it works: scroll-driven 3D journey (tower, then kitchen). | 23 Oct (Harshita): Builders: tower construct mode (floors build in order, line follows, kitchens light).</t>
  </si>
  <si>
    <t>E7</t>
  </si>
  <si>
    <t>Responsive QA at 390px and 1440px; no horizontal scroll</t>
  </si>
  <si>
    <t>23 Oct (Harshita): Home and How it works checked at 390px and 1440px: no horizontal scroll.</t>
  </si>
  <si>
    <t>E8</t>
  </si>
  <si>
    <t>Reduced-motion check and performance (Lighthouse mobile 85+)</t>
  </si>
  <si>
    <t>23 Oct (Harshita): Reduced motion checked on Home and How it works: final states shown, no hidden text. Lighthouse mobile not run yet.</t>
  </si>
  <si>
    <t>F1</t>
  </si>
  <si>
    <t>Video</t>
  </si>
  <si>
    <t>Video script and storyboard (building, pipe, kitchen unit, basement)</t>
  </si>
  <si>
    <t>Rayansh's team</t>
  </si>
  <si>
    <t>Scope split between video and website still open.</t>
  </si>
  <si>
    <t>F2</t>
  </si>
  <si>
    <t>Receive client's reference animation</t>
  </si>
  <si>
    <t>Promised by end of day 22 Oct</t>
  </si>
  <si>
    <t>F3</t>
  </si>
  <si>
    <t>Produce MP4 explainer (16:9, plus 9:16 cut for social)</t>
  </si>
  <si>
    <t>Biggest timeline risk. Confirm before kickoff</t>
  </si>
  <si>
    <t>F4</t>
  </si>
  <si>
    <t>Approve video cut with client</t>
  </si>
  <si>
    <t>H1</t>
  </si>
  <si>
    <t>Launch</t>
  </si>
  <si>
    <t>Client review round 1 on full site</t>
  </si>
  <si>
    <t>H2</t>
  </si>
  <si>
    <t>Fix review round 1 feedback</t>
  </si>
  <si>
    <t>H3</t>
  </si>
  <si>
    <t>Hosting set up (client hosting or Socialsect server)</t>
  </si>
  <si>
    <t>Client has no hosting yet</t>
  </si>
  <si>
    <t>H4</t>
  </si>
  <si>
    <t>Point domain DNS, go live, check SSL</t>
  </si>
  <si>
    <t>H5</t>
  </si>
  <si>
    <t>Hand over repo and domain ownership to client</t>
  </si>
  <si>
    <t>Domain must be in client's name</t>
  </si>
  <si>
    <t>Page</t>
  </si>
  <si>
    <t>URL (proposed)</t>
  </si>
  <si>
    <t>Audience</t>
  </si>
  <si>
    <t>Purpose</t>
  </si>
  <si>
    <t>Home</t>
  </si>
  <si>
    <t>/</t>
  </si>
  <si>
    <t>Consumer, then builder</t>
  </si>
  <si>
    <t>Phase 1 Must</t>
  </si>
  <si>
    <t>Hero hook, convenience, quality, teaser for builders</t>
  </si>
  <si>
    <t>Consumer sections first; builder sections later on the same page | 23 Oct (Harshita): Built. Hero approved by Vinayak. Audit: not a full pass yet. Impeccable detect 0 findings; Taste lint 0 FAIL (1 WARN: Inter flagged as a default face, pinned by DESIGN.md). Taste inspect leaves 2 FAILs as documented exceptions for Vinayak: few-pictures (CLAUDE.md requires SVG/3D and bans stock imagery) and covered-text (sticky 3D stage on phones; floating WhatsApp button).</t>
  </si>
  <si>
    <t>How it works (consumer)</t>
  </si>
  <si>
    <t>/b2c/how-it-works</t>
  </si>
  <si>
    <t>Consumer</t>
  </si>
  <si>
    <t>Recharge, control unit in your kitchen, the flow</t>
  </si>
  <si>
    <t>Interactive recharge demo lives here or on home | 23 Oct (Harshita): Built: five-step scroll journey with one sticky 3D stage (plant room, riser, control unit, app recharge, pour). Main action "check water quality" points to the home recharge demo until /b2c/water-quality exists (PLACEHOLDER). Awaiting Vinayak review. Audit: not a full pass yet. Impeccable detect 0 findings; Taste lint 0 FAIL (1 WARN: Inter flagged as a default face, pinned by DESIGN.md). Taste inspect leaves 2 FAILs as documented exceptions for Vinayak: few-pictures (CLAUDE.md requires SVG/3D and bans stock imagery) and covered-text (sticky 3D stage on phones; floating WhatsApp button).</t>
  </si>
  <si>
    <t>Water quality</t>
  </si>
  <si>
    <t>/b2c/water-quality</t>
  </si>
  <si>
    <t>Phase 1 Should</t>
  </si>
  <si>
    <t>Per-flat readings: TDS, pH, alkalinity, dissolved solids</t>
  </si>
  <si>
    <t>Sample data only until client confirms parameters</t>
  </si>
  <si>
    <t>Builders</t>
  </si>
  <si>
    <t>/b2b/builders</t>
  </si>
  <si>
    <t>Builder</t>
  </si>
  <si>
    <t>Installed at construction stage, no retrofit, space saved; embedded MP4</t>
  </si>
  <si>
    <t>Overview only, no technology detail | 23 Oct (Harshita): Built, awaiting Vinayak review. Blocked on the MP4 explainer for "done"; references are "To confirm" placeholders. Audit: not a full pass yet. Impeccable detect 0 findings; Taste lint 0 FAIL (1 WARN: Inter, pinned by DESIGN.md). Taste inspect leaves 2 FAILs as documented exceptions for Vinayak: few-pictures (CLAUDE.md requires SVG/3D, no stock imagery) and covered-text (floating WhatsApp button at 390px). 390px and 1440px: no horizontal scroll. Reduced motion: final state, no hidden text.</t>
  </si>
  <si>
    <t>Installation</t>
  </si>
  <si>
    <t>/b2b/installation</t>
  </si>
  <si>
    <t>Cellar control room, pipe to each flat, what the builder provides</t>
  </si>
  <si>
    <t>Keep basic; no schematics</t>
  </si>
  <si>
    <t>Compare (hub)</t>
  </si>
  <si>
    <t>/compare</t>
  </si>
  <si>
    <t>Consumer and builder</t>
  </si>
  <si>
    <t>Moya One vs bottled water vs RO filters</t>
  </si>
  <si>
    <t>Qualitative labels only</t>
  </si>
  <si>
    <t>Compare: bottled water</t>
  </si>
  <si>
    <t>/compare/bottled-water</t>
  </si>
  <si>
    <t>Bottle routine vs one pipe</t>
  </si>
  <si>
    <t>Compare: RO filters</t>
  </si>
  <si>
    <t>/compare/ro-filters</t>
  </si>
  <si>
    <t>RO wastage and maintenance vs Moya One</t>
  </si>
  <si>
    <t>Do not state a wastage figure until verified</t>
  </si>
  <si>
    <t>Technology (overview)</t>
  </si>
  <si>
    <t>/technology</t>
  </si>
  <si>
    <t>Phase 1 Stretch</t>
  </si>
  <si>
    <t>Overview of the system, patent filed, no technical depth</t>
  </si>
  <si>
    <t>Wording per Claims tab</t>
  </si>
  <si>
    <t>Environment</t>
  </si>
  <si>
    <t>/environment</t>
  </si>
  <si>
    <t>Both</t>
  </si>
  <si>
    <t>Plastic, emissions, zero liquid discharge</t>
  </si>
  <si>
    <t>Client asked for this page</t>
  </si>
  <si>
    <t>How we work</t>
  </si>
  <si>
    <t>/how-we-work</t>
  </si>
  <si>
    <t>Process from installation to billing</t>
  </si>
  <si>
    <t>Use client's 'How we work' document once received</t>
  </si>
  <si>
    <t>Contact</t>
  </si>
  <si>
    <t>/contact</t>
  </si>
  <si>
    <t>Enquiry form, developer and consumer routes</t>
  </si>
  <si>
    <t>Form only, no login</t>
  </si>
  <si>
    <t>Compare: zero liquid discharge</t>
  </si>
  <si>
    <t>/compare/zero-liquid-discharge</t>
  </si>
  <si>
    <t>Water wastage angle, deeper comparison</t>
  </si>
  <si>
    <t>Blocked until zero-wastage claim is verified</t>
  </si>
  <si>
    <t>Compare: other comparisons (x6)</t>
  </si>
  <si>
    <t>/compare/...</t>
  </si>
  <si>
    <t>Further comparison pages Vinayak proposed</t>
  </si>
  <si>
    <t>Count against the 15-page scope. Confirm with Rayansh</t>
  </si>
  <si>
    <t>Insights / blog</t>
  </si>
  <si>
    <t>/insights</t>
  </si>
  <si>
    <t>Later</t>
  </si>
  <si>
    <t>Articles and videos</t>
  </si>
  <si>
    <t>Deferred by client until builder handover</t>
  </si>
  <si>
    <t>App and login</t>
  </si>
  <si>
    <t>/app</t>
  </si>
  <si>
    <t>Login with payment ID and OTP, payment history</t>
  </si>
  <si>
    <t>Not in phase 1</t>
  </si>
  <si>
    <t>#</t>
  </si>
  <si>
    <t>Item needed from Omar (client)</t>
  </si>
  <si>
    <t>Why it matters</t>
  </si>
  <si>
    <t>Requested by</t>
  </si>
  <si>
    <t>Received on</t>
  </si>
  <si>
    <t>Logo variations (4 to 5) from client's logo team</t>
  </si>
  <si>
    <t>Needed for home header and brand direction</t>
  </si>
  <si>
    <t>Colour and logo preferences</t>
  </si>
  <si>
    <t>Lets us check the palette against his taste</t>
  </si>
  <si>
    <t>Palette already chosen by Vinayak. Check fit, do not replace</t>
  </si>
  <si>
    <t>Presentation PDFs and product details</t>
  </si>
  <si>
    <t>Source for product facts and copy</t>
  </si>
  <si>
    <t>Promised 19 Oct</t>
  </si>
  <si>
    <t>'How we work' document (water flow, filter stages)</t>
  </si>
  <si>
    <t>Builders page and installation page copy</t>
  </si>
  <si>
    <t>Use only claimable parts</t>
  </si>
  <si>
    <t>Reference animation video</t>
  </si>
  <si>
    <t>Sets the style for the MP4 explainer</t>
  </si>
  <si>
    <t>Promised 22 Oct</t>
  </si>
  <si>
    <t>Zero water wastage and 3LD: technical confirmation</t>
  </si>
  <si>
    <t>Claims on comparison and environment pages</t>
  </si>
  <si>
    <t>Do not publish until confirmed</t>
  </si>
  <si>
    <t>Hyderabad community details and permission to name it</t>
  </si>
  <si>
    <t>Deployments strip</t>
  </si>
  <si>
    <t>Use placeholder until approved</t>
  </si>
  <si>
    <t>Final brand name: Moya One or Moya1</t>
  </si>
  <si>
    <t>Domain, logo, trademark</t>
  </si>
  <si>
    <t>Domain go-moya-one.com recommended</t>
  </si>
  <si>
    <t>Confirmation of domain spelling and purchase approval</t>
  </si>
  <si>
    <t>Domain purchase</t>
  </si>
  <si>
    <t>Monthly plan terms (minimum occupancy, guarantee) for builder pages</t>
  </si>
  <si>
    <t>Builders page content</t>
  </si>
  <si>
    <t>Not in phase 1 price list. Confirm if needed</t>
  </si>
  <si>
    <t>Claim</t>
  </si>
  <si>
    <t>Where it came from</t>
  </si>
  <si>
    <t>Action before publishing</t>
  </si>
  <si>
    <t>Zero water wastage (unlike RO, which wastes about as much as it delivers)</t>
  </si>
  <si>
    <t>Client, 19 Oct call</t>
  </si>
  <si>
    <t>To confirm</t>
  </si>
  <si>
    <t>Get written technical confirmation (C3)</t>
  </si>
  <si>
    <t>3LD (zero liquid discharge) technology</t>
  </si>
  <si>
    <t>Client, 22 Oct call</t>
  </si>
  <si>
    <t>Do not publish until verified</t>
  </si>
  <si>
    <t>Patented technology</t>
  </si>
  <si>
    <t>Client said 'patented' on 19 Oct, then 'filed, not yet examined' on 22 Oct</t>
  </si>
  <si>
    <t>Do not use as stated</t>
  </si>
  <si>
    <t>Use 'patent filed' until granted (B7)</t>
  </si>
  <si>
    <t>Moya1 control-unit trademark</t>
  </si>
  <si>
    <t>Filed, not registered</t>
  </si>
  <si>
    <t>Use the TM symbol only, not the registered mark</t>
  </si>
  <si>
    <t>Hyderabad community, about 300 apartments, being installed</t>
  </si>
  <si>
    <t>Placeholder until client approves naming</t>
  </si>
  <si>
    <t>Deployed in India</t>
  </si>
  <si>
    <t>Show India only, marked to confirm</t>
  </si>
  <si>
    <t>UAE talks with two developers</t>
  </si>
  <si>
    <t>Do not publish</t>
  </si>
  <si>
    <t>Do not name developers or show logos</t>
  </si>
  <si>
    <t>Unlimited water on subscription</t>
  </si>
  <si>
    <t>Confirm plan terms before saying 'unlimited'</t>
  </si>
  <si>
    <t>Recharge from phone, like a mobile top-up</t>
  </si>
  <si>
    <t>Client, 19 Oct call; headline concept</t>
  </si>
  <si>
    <t>OK as concept</t>
  </si>
  <si>
    <t>App is not built. Show as concept</t>
  </si>
  <si>
    <t>Per-flat water-quality readings in app</t>
  </si>
  <si>
    <t>Label all readings as sample data</t>
  </si>
  <si>
    <t>Best website in the world</t>
  </si>
  <si>
    <t>Rayansh on 22 Oct call</t>
  </si>
  <si>
    <t>Do not use</t>
  </si>
  <si>
    <t>Not a claim the site can make</t>
  </si>
  <si>
    <t>Minimum occupancy and minimum guarantee</t>
  </si>
  <si>
    <t>Vinayak, 19 Oct call</t>
  </si>
  <si>
    <t>Not confirmed</t>
  </si>
  <si>
    <t>Do not publish until client confirms terms</t>
  </si>
  <si>
    <t>Prices or rupee/dirham rates on site</t>
  </si>
  <si>
    <t>Earlier concept drafts</t>
  </si>
  <si>
    <t>Remove. Price terms are not public yet</t>
  </si>
  <si>
    <t>No retrofit; no lost space in the flat (builders)</t>
  </si>
  <si>
    <t>CLAUDE.md and CLIENT_CONTEXT.md</t>
  </si>
  <si>
    <t>Used on Home (builders section). Marked PLACEHOLDER in code. Rayansh to mark OK.</t>
  </si>
  <si>
    <t>No filters or servicing for residents</t>
  </si>
  <si>
    <t>CLIENT_CONTEXT.md (19 and 22 Oct calls)</t>
  </si>
  <si>
    <t>Used in Home hero and How it works step 3. Marked PLACEHOLDER in code.</t>
  </si>
  <si>
    <t>Every Moya One tower has its own plant room in the basement</t>
  </si>
  <si>
    <t>CLIENT_CONTEXT.md (control room in basement or cellar)</t>
  </si>
  <si>
    <t>Used in How it works step 1. Marked PLACEHOLDER in code.</t>
  </si>
  <si>
    <t>Available only in towers that build it in</t>
  </si>
  <si>
    <t>Derived from "installed during construction, through the builder"</t>
  </si>
  <si>
    <t>Used in Home hero. Marked PLACEHOLDER in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</si>
</sst>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ddd dd mmm"/>
  </numFmts>
  <fonts count="10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sz val="12"/>
      <name val="Arial"/>
    </font>
    <font>
      <charset val="1"/>
      <sz val="10"/>
      <name val="Arial"/>
    </font>
    <font>
      <b/>
      <charset val="1"/>
      <sz val="10"/>
      <name val="Arial"/>
    </font>
    <font>
      <b/>
      <charset val="1"/>
      <sz val="14"/>
      <name val="Arial"/>
    </font>
    <font>
      <charset val="1"/>
      <color theme="1"/>
      <sz val="11"/>
      <name val="Arial"/>
    </font>
    <font>
      <b/>
      <charset val="1"/>
      <sz val="11"/>
      <name val="Arial"/>
    </font>
    <font>
      <charset val="1"/>
      <sz val="11"/>
      <name val="Arial"/>
    </font>
    <font>
      <b/>
      <charset val="1"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7CC"/>
        <bgColor rgb="FFFBEBEB"/>
      </patternFill>
    </fill>
    <fill>
      <patternFill patternType="solid">
        <fgColor rgb="FF111827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164" fontId="8" fillId="2" borderId="0" xfId="0" applyNumberFormat="1" applyFont="1" applyFill="1" applyAlignment="1">
      <alignment vertical="bottom"/>
    </xf>
    <xf numFmtId="0" fontId="9" fillId="3" borderId="0" xfId="0" applyFont="1" applyFill="1" applyAlignment="1">
      <alignment vertical="bottom"/>
    </xf>
    <xf numFmtId="0" fontId="8" fillId="0" borderId="0" xfId="0" applyFont="1" applyAlignment="1">
      <alignment vertical="bottom"/>
    </xf>
    <xf numFmtId="9" fontId="8" fillId="0" borderId="0" xfId="0" applyNumberFormat="1" applyFont="1" applyAlignment="1">
      <alignment vertical="bottom"/>
    </xf>
    <xf numFmtId="164" fontId="8" fillId="0" borderId="0" xfId="0" applyNumberFormat="1" applyFont="1" applyAlignment="1">
      <alignment vertical="bottom"/>
    </xf>
    <xf numFmtId="0" fontId="9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E5F4E4"/>
        </patternFill>
      </fill>
    </dxf>
    <dxf>
      <fill>
        <patternFill>
          <bgColor rgb="FFFBEB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10" style="1" customWidth="1"/>
  </cols>
  <sheetData>
    <row r="1" ht="15" customHeight="1" spans="1:1" x14ac:dyDescent="0.25">
      <c r="A1" s="2" t="s">
        <v>0</v>
      </c>
    </row>
    <row r="2" ht="15" customHeight="1" spans="1:1" x14ac:dyDescent="0.25">
      <c r="A2" s="3" t="s">
        <v>1</v>
      </c>
    </row>
    <row r="3" ht="15" customHeight="1" spans="1:1" x14ac:dyDescent="0.25">
      <c r="A3" s="3"/>
    </row>
    <row r="4" ht="15" customHeight="1" spans="1:1" x14ac:dyDescent="0.25">
      <c r="A4" s="4" t="s">
        <v>2</v>
      </c>
    </row>
    <row r="5" ht="15" customHeight="1" spans="1:1" x14ac:dyDescent="0.25">
      <c r="A5" s="3" t="s">
        <v>3</v>
      </c>
    </row>
    <row r="6" ht="15" customHeight="1" spans="1:1" x14ac:dyDescent="0.25">
      <c r="A6" s="3" t="s">
        <v>4</v>
      </c>
    </row>
    <row r="7" ht="15" customHeight="1" spans="1:1" x14ac:dyDescent="0.25">
      <c r="A7" s="3"/>
    </row>
    <row r="8" ht="15" customHeight="1" spans="1:1" x14ac:dyDescent="0.25">
      <c r="A8" s="3" t="s">
        <v>5</v>
      </c>
    </row>
    <row r="9" ht="15" customHeight="1" spans="1:1" x14ac:dyDescent="0.25">
      <c r="A9" s="3" t="s">
        <v>6</v>
      </c>
    </row>
    <row r="10" ht="15" customHeight="1" spans="1:1" x14ac:dyDescent="0.25">
      <c r="A10" s="3"/>
    </row>
    <row r="11" ht="15" customHeight="1" spans="1:1" x14ac:dyDescent="0.25">
      <c r="A11" s="3"/>
    </row>
    <row r="12" ht="15" customHeight="1" spans="1:1" x14ac:dyDescent="0.25">
      <c r="A12" s="3"/>
    </row>
    <row r="13" ht="15" customHeight="1" spans="1:1" x14ac:dyDescent="0.25">
      <c r="A13" s="4" t="s">
        <v>7</v>
      </c>
    </row>
    <row r="14" ht="15" customHeight="1" spans="1:1" x14ac:dyDescent="0.25">
      <c r="A14" s="3" t="s">
        <v>8</v>
      </c>
    </row>
    <row r="15" ht="15" customHeight="1" spans="1:1" x14ac:dyDescent="0.25">
      <c r="A15" s="3" t="s">
        <v>9</v>
      </c>
    </row>
    <row r="16" ht="15" customHeight="1" spans="1:1" x14ac:dyDescent="0.25">
      <c r="A16" s="3"/>
    </row>
    <row r="17" ht="15" customHeight="1" spans="1:1" x14ac:dyDescent="0.25">
      <c r="A17" s="4" t="s">
        <v>10</v>
      </c>
    </row>
    <row r="18" ht="15" customHeight="1" spans="1:1" x14ac:dyDescent="0.25">
      <c r="A18" s="3" t="s">
        <v>11</v>
      </c>
    </row>
    <row r="19" ht="15" customHeight="1" spans="1:1" x14ac:dyDescent="0.25">
      <c r="A19" s="3"/>
    </row>
    <row r="20" ht="15" customHeight="1" spans="1:1" x14ac:dyDescent="0.25">
      <c r="A20" s="4"/>
    </row>
    <row r="21" ht="15" customHeight="1" spans="1:1" x14ac:dyDescent="0.25">
      <c r="A21" s="3" t="s">
        <v>12</v>
      </c>
    </row>
    <row r="22" ht="15" customHeight="1" spans="1:1" x14ac:dyDescent="0.25">
      <c r="A22" s="3" t="s">
        <v>13</v>
      </c>
    </row>
    <row r="23" ht="15" customHeight="1" spans="1:1" x14ac:dyDescent="0.25">
      <c r="A23" s="3"/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8" style="1" customWidth="1"/>
    <col min="2" max="2" width="18" style="1" customWidth="1"/>
  </cols>
  <sheetData>
    <row r="1" ht="17.25" customHeight="1" spans="1:2" x14ac:dyDescent="0.25">
      <c r="A1" s="5" t="s">
        <v>14</v>
      </c>
      <c r="B1" s="6"/>
    </row>
    <row r="2" ht="15" customHeight="1" spans="1:2" x14ac:dyDescent="0.25">
      <c r="A2" s="6"/>
      <c r="B2" s="6"/>
    </row>
    <row r="3" ht="15" customHeight="1" spans="1:2" x14ac:dyDescent="0.25">
      <c r="A3" s="7" t="s">
        <v>15</v>
      </c>
      <c r="B3" s="8">
        <v>46319</v>
      </c>
    </row>
    <row r="4" ht="15" customHeight="1" spans="1:2" x14ac:dyDescent="0.25">
      <c r="A4" s="6"/>
      <c r="B4" s="6"/>
    </row>
    <row r="5" ht="15" customHeight="1" spans="1:2" x14ac:dyDescent="0.25">
      <c r="A5" s="9" t="s">
        <v>16</v>
      </c>
      <c r="B5" s="9" t="s">
        <v>17</v>
      </c>
    </row>
    <row r="6" ht="15" customHeight="1" spans="1:2" x14ac:dyDescent="0.25">
      <c r="A6" s="10" t="s">
        <v>18</v>
      </c>
      <c r="B6" s="10">
        <f>COUNTIF(Tracker!$L$2:$L$80,A6)</f>
        <v>40</v>
      </c>
    </row>
    <row r="7" ht="15" customHeight="1" spans="1:2" x14ac:dyDescent="0.25">
      <c r="A7" s="10" t="s">
        <v>19</v>
      </c>
      <c r="B7" s="10">
        <f>COUNTIF(Tracker!$L$2:$L$80,A7)</f>
        <v>0</v>
      </c>
    </row>
    <row r="8" ht="15" customHeight="1" spans="1:2" x14ac:dyDescent="0.25">
      <c r="A8" s="10" t="s">
        <v>20</v>
      </c>
      <c r="B8" s="10">
        <f>COUNTIF(Tracker!$L$2:$L$80,A8)</f>
        <v>0</v>
      </c>
    </row>
    <row r="9" ht="15" customHeight="1" spans="1:2" x14ac:dyDescent="0.25">
      <c r="A9" s="10" t="s">
        <v>21</v>
      </c>
      <c r="B9" s="10">
        <f>COUNTIF(Tracker!$L$2:$L$80,A9)</f>
        <v>0</v>
      </c>
    </row>
    <row r="10" ht="15" customHeight="1" spans="1:2" x14ac:dyDescent="0.25">
      <c r="A10" s="7" t="s">
        <v>22</v>
      </c>
      <c r="B10" s="10">
        <f>COUNTA(Tracker!$A$2:$A$80)</f>
        <v>40</v>
      </c>
    </row>
    <row r="11" ht="15" customHeight="1" spans="1:2" x14ac:dyDescent="0.25">
      <c r="A11" s="7" t="s">
        <v>23</v>
      </c>
      <c r="B11" s="11">
        <f>IF(B10=0,0,B9/B10)</f>
        <v>0</v>
      </c>
    </row>
    <row r="12" ht="15" customHeight="1" spans="1:2" x14ac:dyDescent="0.25">
      <c r="A12" s="7" t="s">
        <v>24</v>
      </c>
      <c r="B12" s="10">
        <f>COUNTIFS(Tracker!$I$2:$I$80,"&lt;"&amp;TODAY(),Tracker!$L$2:$L$80,"&lt;&gt;Done")</f>
        <v>0</v>
      </c>
    </row>
    <row r="13" ht="15" customHeight="1" spans="1:2" x14ac:dyDescent="0.25">
      <c r="A13" s="7" t="s">
        <v>25</v>
      </c>
      <c r="B13" s="10">
        <f>COUNTIFS(Tracker!$K$2:$K$80,"Yes",Tracker!$L$2:$L$80,"&lt;&gt;Done")</f>
        <v>12</v>
      </c>
    </row>
    <row r="14" ht="15" customHeight="1" spans="1:2" x14ac:dyDescent="0.25">
      <c r="A14" s="7" t="s">
        <v>26</v>
      </c>
      <c r="B14" s="12">
        <f>MAX(Tracker!$I$2:$I$80)</f>
        <v>46352</v>
      </c>
    </row>
    <row r="15" ht="15" customHeight="1" spans="1:2" x14ac:dyDescent="0.25">
      <c r="A15" s="7"/>
      <c r="B15" s="10"/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 zoomScale="100" zoomScaleNormal="100" view="normal">
      <pane xSplit="3" ySplit="1" topLeftCell="D2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7" style="1" customWidth="1"/>
    <col min="2" max="2" width="13" style="1" customWidth="1"/>
    <col min="3" max="3" width="58" style="1" customWidth="1"/>
    <col min="4" max="4" width="16" style="1" customWidth="1"/>
    <col min="5" max="5" width="10" style="1" customWidth="1"/>
    <col min="6" max="7" width="9" style="1" customWidth="1"/>
    <col min="8" max="9" width="14" style="1" customWidth="1"/>
    <col min="10" max="10" width="11" style="1" customWidth="1"/>
    <col min="11" max="11" width="12" style="1" customWidth="1"/>
    <col min="12" max="12" width="14" style="1" customWidth="1"/>
    <col min="13" max="13" width="52" style="1" customWidth="1"/>
  </cols>
  <sheetData>
    <row r="1" ht="51.75" customHeight="1" spans="1:13" x14ac:dyDescent="0.25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16</v>
      </c>
      <c r="M1" s="13" t="s">
        <v>38</v>
      </c>
    </row>
    <row r="2" ht="15" customHeight="1" spans="1:13" x14ac:dyDescent="0.25">
      <c r="A2" s="14" t="s">
        <v>39</v>
      </c>
      <c r="B2" s="14" t="s">
        <v>40</v>
      </c>
      <c r="C2" s="14" t="s">
        <v>41</v>
      </c>
      <c r="D2" s="14" t="s">
        <v>42</v>
      </c>
      <c r="E2" s="14" t="s">
        <v>43</v>
      </c>
      <c r="F2" s="15">
        <v>0</v>
      </c>
      <c r="G2" s="15">
        <v>5</v>
      </c>
      <c r="H2" s="16">
        <f>WORKDAY.INTL(Dashboard!$B$3,F2,"0000001")</f>
        <v>46319</v>
      </c>
      <c r="I2" s="16">
        <f>WORKDAY.INTL(Dashboard!$B$3,G2,"0000001")</f>
        <v>46325</v>
      </c>
      <c r="J2" s="14"/>
      <c r="K2" s="14" t="s">
        <v>44</v>
      </c>
      <c r="L2" s="15" t="s">
        <v>18</v>
      </c>
      <c r="M2" s="14" t="s">
        <v>45</v>
      </c>
    </row>
    <row r="3" ht="15" customHeight="1" spans="1:13" x14ac:dyDescent="0.25">
      <c r="A3" s="14" t="s">
        <v>46</v>
      </c>
      <c r="B3" s="14" t="s">
        <v>40</v>
      </c>
      <c r="C3" s="14" t="s">
        <v>47</v>
      </c>
      <c r="D3" s="14" t="s">
        <v>42</v>
      </c>
      <c r="E3" s="14" t="s">
        <v>43</v>
      </c>
      <c r="F3" s="15">
        <v>0</v>
      </c>
      <c r="G3" s="15">
        <v>5</v>
      </c>
      <c r="H3" s="16">
        <f>WORKDAY.INTL(Dashboard!$B$3,F3,"0000001")</f>
        <v>46319</v>
      </c>
      <c r="I3" s="16">
        <f>WORKDAY.INTL(Dashboard!$B$3,G3,"0000001")</f>
        <v>46325</v>
      </c>
      <c r="J3" s="14"/>
      <c r="K3" s="14" t="s">
        <v>44</v>
      </c>
      <c r="L3" s="15" t="s">
        <v>18</v>
      </c>
      <c r="M3" s="14" t="s">
        <v>48</v>
      </c>
    </row>
    <row r="4" ht="15" customHeight="1" spans="1:13" x14ac:dyDescent="0.25">
      <c r="A4" s="14" t="s">
        <v>49</v>
      </c>
      <c r="B4" s="14" t="s">
        <v>40</v>
      </c>
      <c r="C4" s="14" t="s">
        <v>50</v>
      </c>
      <c r="D4" s="14" t="s">
        <v>42</v>
      </c>
      <c r="E4" s="14" t="s">
        <v>43</v>
      </c>
      <c r="F4" s="15">
        <v>0</v>
      </c>
      <c r="G4" s="15">
        <v>2</v>
      </c>
      <c r="H4" s="16">
        <f>WORKDAY.INTL(Dashboard!$B$3,F4,"0000001")</f>
        <v>46319</v>
      </c>
      <c r="I4" s="16">
        <f>WORKDAY.INTL(Dashboard!$B$3,G4,"0000001")</f>
        <v>46322</v>
      </c>
      <c r="J4" s="14"/>
      <c r="K4" s="14" t="s">
        <v>51</v>
      </c>
      <c r="L4" s="15" t="s">
        <v>18</v>
      </c>
      <c r="M4" s="14" t="s">
        <v>52</v>
      </c>
    </row>
    <row r="5" ht="15" customHeight="1" spans="1:13" x14ac:dyDescent="0.25">
      <c r="A5" s="14" t="s">
        <v>53</v>
      </c>
      <c r="B5" s="14" t="s">
        <v>40</v>
      </c>
      <c r="C5" s="14" t="s">
        <v>54</v>
      </c>
      <c r="D5" s="14" t="s">
        <v>42</v>
      </c>
      <c r="E5" s="14" t="s">
        <v>43</v>
      </c>
      <c r="F5" s="15">
        <v>2</v>
      </c>
      <c r="G5" s="15">
        <v>4</v>
      </c>
      <c r="H5" s="16">
        <f>WORKDAY.INTL(Dashboard!$B$3,F5,"0000001")</f>
        <v>46322</v>
      </c>
      <c r="I5" s="16">
        <f>WORKDAY.INTL(Dashboard!$B$3,G5,"0000001")</f>
        <v>46324</v>
      </c>
      <c r="J5" s="14" t="s">
        <v>49</v>
      </c>
      <c r="K5" s="14" t="s">
        <v>51</v>
      </c>
      <c r="L5" s="15" t="s">
        <v>18</v>
      </c>
      <c r="M5" s="14" t="s">
        <v>55</v>
      </c>
    </row>
    <row r="6" ht="15" customHeight="1" spans="1:13" x14ac:dyDescent="0.25">
      <c r="A6" s="14" t="s">
        <v>56</v>
      </c>
      <c r="B6" s="14" t="s">
        <v>40</v>
      </c>
      <c r="C6" s="14" t="s">
        <v>57</v>
      </c>
      <c r="D6" s="14" t="s">
        <v>42</v>
      </c>
      <c r="E6" s="14" t="s">
        <v>43</v>
      </c>
      <c r="F6" s="15">
        <v>3</v>
      </c>
      <c r="G6" s="15">
        <v>5</v>
      </c>
      <c r="H6" s="16">
        <f>WORKDAY.INTL(Dashboard!$B$3,F6,"0000001")</f>
        <v>46323</v>
      </c>
      <c r="I6" s="16">
        <f>WORKDAY.INTL(Dashboard!$B$3,G6,"0000001")</f>
        <v>46325</v>
      </c>
      <c r="J6" s="14" t="s">
        <v>49</v>
      </c>
      <c r="K6" s="14" t="s">
        <v>51</v>
      </c>
      <c r="L6" s="15" t="s">
        <v>18</v>
      </c>
      <c r="M6" s="14" t="s">
        <v>58</v>
      </c>
    </row>
    <row r="7" ht="15" customHeight="1" spans="1:13" x14ac:dyDescent="0.25">
      <c r="A7" s="14" t="s">
        <v>59</v>
      </c>
      <c r="B7" s="14" t="s">
        <v>40</v>
      </c>
      <c r="C7" s="14" t="s">
        <v>60</v>
      </c>
      <c r="D7" s="14" t="s">
        <v>42</v>
      </c>
      <c r="E7" s="14" t="s">
        <v>43</v>
      </c>
      <c r="F7" s="15">
        <v>2</v>
      </c>
      <c r="G7" s="15">
        <v>6</v>
      </c>
      <c r="H7" s="16">
        <f>WORKDAY.INTL(Dashboard!$B$3,F7,"0000001")</f>
        <v>46322</v>
      </c>
      <c r="I7" s="16">
        <f>WORKDAY.INTL(Dashboard!$B$3,G7,"0000001")</f>
        <v>46326</v>
      </c>
      <c r="J7" s="14" t="s">
        <v>53</v>
      </c>
      <c r="K7" s="14" t="s">
        <v>51</v>
      </c>
      <c r="L7" s="15" t="s">
        <v>18</v>
      </c>
      <c r="M7" s="14" t="s">
        <v>61</v>
      </c>
    </row>
    <row r="8" ht="15" customHeight="1" spans="1:13" x14ac:dyDescent="0.25">
      <c r="A8" s="14" t="s">
        <v>62</v>
      </c>
      <c r="B8" s="14" t="s">
        <v>40</v>
      </c>
      <c r="C8" s="14" t="s">
        <v>63</v>
      </c>
      <c r="D8" s="14" t="s">
        <v>64</v>
      </c>
      <c r="E8" s="14" t="s">
        <v>43</v>
      </c>
      <c r="F8" s="15">
        <v>0</v>
      </c>
      <c r="G8" s="15">
        <v>2</v>
      </c>
      <c r="H8" s="16">
        <f>WORKDAY.INTL(Dashboard!$B$3,F8,"0000001")</f>
        <v>46319</v>
      </c>
      <c r="I8" s="16">
        <f>WORKDAY.INTL(Dashboard!$B$3,G8,"0000001")</f>
        <v>46322</v>
      </c>
      <c r="J8" s="14"/>
      <c r="K8" s="14" t="s">
        <v>44</v>
      </c>
      <c r="L8" s="15" t="s">
        <v>18</v>
      </c>
      <c r="M8" s="14" t="s">
        <v>65</v>
      </c>
    </row>
    <row r="9" ht="15" customHeight="1" spans="1:13" x14ac:dyDescent="0.25">
      <c r="A9" s="14" t="s">
        <v>66</v>
      </c>
      <c r="B9" s="14" t="s">
        <v>67</v>
      </c>
      <c r="C9" s="14" t="s">
        <v>68</v>
      </c>
      <c r="D9" s="14" t="s">
        <v>69</v>
      </c>
      <c r="E9" s="14" t="s">
        <v>43</v>
      </c>
      <c r="F9" s="15">
        <v>0</v>
      </c>
      <c r="G9" s="15">
        <v>5</v>
      </c>
      <c r="H9" s="16">
        <f>WORKDAY.INTL(Dashboard!$B$3,F9,"0000001")</f>
        <v>46319</v>
      </c>
      <c r="I9" s="16">
        <f>WORKDAY.INTL(Dashboard!$B$3,G9,"0000001")</f>
        <v>46325</v>
      </c>
      <c r="J9" s="14"/>
      <c r="K9" s="14" t="s">
        <v>44</v>
      </c>
      <c r="L9" s="15" t="s">
        <v>18</v>
      </c>
      <c r="M9" s="14" t="s">
        <v>70</v>
      </c>
    </row>
    <row r="10" ht="15" customHeight="1" spans="1:13" x14ac:dyDescent="0.25">
      <c r="A10" s="14" t="s">
        <v>71</v>
      </c>
      <c r="B10" s="14" t="s">
        <v>67</v>
      </c>
      <c r="C10" s="14" t="s">
        <v>72</v>
      </c>
      <c r="D10" s="14" t="s">
        <v>69</v>
      </c>
      <c r="E10" s="14" t="s">
        <v>43</v>
      </c>
      <c r="F10" s="15">
        <v>0</v>
      </c>
      <c r="G10" s="15">
        <v>5</v>
      </c>
      <c r="H10" s="16">
        <f>WORKDAY.INTL(Dashboard!$B$3,F10,"0000001")</f>
        <v>46319</v>
      </c>
      <c r="I10" s="16">
        <f>WORKDAY.INTL(Dashboard!$B$3,G10,"0000001")</f>
        <v>46325</v>
      </c>
      <c r="J10" s="14"/>
      <c r="K10" s="14" t="s">
        <v>44</v>
      </c>
      <c r="L10" s="15" t="s">
        <v>18</v>
      </c>
      <c r="M10" s="14" t="s">
        <v>73</v>
      </c>
    </row>
    <row r="11" ht="15" customHeight="1" spans="1:13" x14ac:dyDescent="0.25">
      <c r="A11" s="14" t="s">
        <v>74</v>
      </c>
      <c r="B11" s="14" t="s">
        <v>67</v>
      </c>
      <c r="C11" s="14" t="s">
        <v>75</v>
      </c>
      <c r="D11" s="14" t="s">
        <v>64</v>
      </c>
      <c r="E11" s="14" t="s">
        <v>43</v>
      </c>
      <c r="F11" s="15">
        <v>3</v>
      </c>
      <c r="G11" s="15">
        <v>10</v>
      </c>
      <c r="H11" s="16">
        <f>WORKDAY.INTL(Dashboard!$B$3,F11,"0000001")</f>
        <v>46323</v>
      </c>
      <c r="I11" s="16">
        <f>WORKDAY.INTL(Dashboard!$B$3,G11,"0000001")</f>
        <v>46331</v>
      </c>
      <c r="J11" s="14" t="s">
        <v>71</v>
      </c>
      <c r="K11" s="14" t="s">
        <v>44</v>
      </c>
      <c r="L11" s="15" t="s">
        <v>18</v>
      </c>
      <c r="M11" s="14" t="s">
        <v>76</v>
      </c>
    </row>
    <row r="12" ht="15" customHeight="1" spans="1:13" x14ac:dyDescent="0.25">
      <c r="A12" s="14" t="s">
        <v>77</v>
      </c>
      <c r="B12" s="14" t="s">
        <v>67</v>
      </c>
      <c r="C12" s="14" t="s">
        <v>78</v>
      </c>
      <c r="D12" s="14" t="s">
        <v>42</v>
      </c>
      <c r="E12" s="14" t="s">
        <v>43</v>
      </c>
      <c r="F12" s="15">
        <v>5</v>
      </c>
      <c r="G12" s="15">
        <v>8</v>
      </c>
      <c r="H12" s="16">
        <f>WORKDAY.INTL(Dashboard!$B$3,F12,"0000001")</f>
        <v>46325</v>
      </c>
      <c r="I12" s="16">
        <f>WORKDAY.INTL(Dashboard!$B$3,G12,"0000001")</f>
        <v>46329</v>
      </c>
      <c r="J12" s="14" t="s">
        <v>71</v>
      </c>
      <c r="K12" s="14" t="s">
        <v>51</v>
      </c>
      <c r="L12" s="15" t="s">
        <v>18</v>
      </c>
      <c r="M12" s="14"/>
    </row>
    <row r="13" ht="15" customHeight="1" spans="1:13" x14ac:dyDescent="0.25">
      <c r="A13" s="14" t="s">
        <v>79</v>
      </c>
      <c r="B13" s="14" t="s">
        <v>67</v>
      </c>
      <c r="C13" s="14" t="s">
        <v>80</v>
      </c>
      <c r="D13" s="14" t="s">
        <v>64</v>
      </c>
      <c r="E13" s="14" t="s">
        <v>43</v>
      </c>
      <c r="F13" s="15">
        <v>5</v>
      </c>
      <c r="G13" s="15">
        <v>10</v>
      </c>
      <c r="H13" s="16">
        <f>WORKDAY.INTL(Dashboard!$B$3,F13,"0000001")</f>
        <v>46325</v>
      </c>
      <c r="I13" s="16">
        <f>WORKDAY.INTL(Dashboard!$B$3,G13,"0000001")</f>
        <v>46331</v>
      </c>
      <c r="J13" s="14" t="s">
        <v>77</v>
      </c>
      <c r="K13" s="14" t="s">
        <v>51</v>
      </c>
      <c r="L13" s="15" t="s">
        <v>18</v>
      </c>
      <c r="M13" s="14" t="s">
        <v>81</v>
      </c>
    </row>
    <row r="14" ht="15" customHeight="1" spans="1:13" x14ac:dyDescent="0.25">
      <c r="A14" s="14" t="s">
        <v>82</v>
      </c>
      <c r="B14" s="14" t="s">
        <v>67</v>
      </c>
      <c r="C14" s="14" t="s">
        <v>83</v>
      </c>
      <c r="D14" s="14" t="s">
        <v>64</v>
      </c>
      <c r="E14" s="14" t="s">
        <v>43</v>
      </c>
      <c r="F14" s="15">
        <v>5</v>
      </c>
      <c r="G14" s="15">
        <v>10</v>
      </c>
      <c r="H14" s="16">
        <f>WORKDAY.INTL(Dashboard!$B$3,F14,"0000001")</f>
        <v>46325</v>
      </c>
      <c r="I14" s="16">
        <f>WORKDAY.INTL(Dashboard!$B$3,G14,"0000001")</f>
        <v>46331</v>
      </c>
      <c r="J14" s="14" t="s">
        <v>77</v>
      </c>
      <c r="K14" s="14" t="s">
        <v>51</v>
      </c>
      <c r="L14" s="15" t="s">
        <v>18</v>
      </c>
      <c r="M14" s="14"/>
    </row>
    <row r="15" ht="15" customHeight="1" spans="1:13" x14ac:dyDescent="0.25">
      <c r="A15" s="14" t="s">
        <v>84</v>
      </c>
      <c r="B15" s="14" t="s">
        <v>67</v>
      </c>
      <c r="C15" s="14" t="s">
        <v>85</v>
      </c>
      <c r="D15" s="14" t="s">
        <v>64</v>
      </c>
      <c r="E15" s="14" t="s">
        <v>43</v>
      </c>
      <c r="F15" s="15">
        <v>7</v>
      </c>
      <c r="G15" s="15">
        <v>12</v>
      </c>
      <c r="H15" s="16">
        <f>WORKDAY.INTL(Dashboard!$B$3,F15,"0000001")</f>
        <v>46328</v>
      </c>
      <c r="I15" s="16">
        <f>WORKDAY.INTL(Dashboard!$B$3,G15,"0000001")</f>
        <v>46333</v>
      </c>
      <c r="J15" s="14" t="s">
        <v>77</v>
      </c>
      <c r="K15" s="14" t="s">
        <v>51</v>
      </c>
      <c r="L15" s="15" t="s">
        <v>18</v>
      </c>
      <c r="M15" s="14" t="s">
        <v>86</v>
      </c>
    </row>
    <row r="16" ht="15" customHeight="1" spans="1:13" x14ac:dyDescent="0.25">
      <c r="A16" s="14" t="s">
        <v>87</v>
      </c>
      <c r="B16" s="14" t="s">
        <v>67</v>
      </c>
      <c r="C16" s="14" t="s">
        <v>88</v>
      </c>
      <c r="D16" s="14" t="s">
        <v>64</v>
      </c>
      <c r="E16" s="14" t="s">
        <v>43</v>
      </c>
      <c r="F16" s="15">
        <v>7</v>
      </c>
      <c r="G16" s="15">
        <v>12</v>
      </c>
      <c r="H16" s="16">
        <f>WORKDAY.INTL(Dashboard!$B$3,F16,"0000001")</f>
        <v>46328</v>
      </c>
      <c r="I16" s="16">
        <f>WORKDAY.INTL(Dashboard!$B$3,G16,"0000001")</f>
        <v>46333</v>
      </c>
      <c r="J16" s="14" t="s">
        <v>77</v>
      </c>
      <c r="K16" s="14" t="s">
        <v>51</v>
      </c>
      <c r="L16" s="15" t="s">
        <v>18</v>
      </c>
      <c r="M16" s="14"/>
    </row>
    <row r="17" ht="15" customHeight="1" spans="1:13" x14ac:dyDescent="0.25">
      <c r="A17" s="14" t="s">
        <v>89</v>
      </c>
      <c r="B17" s="14" t="s">
        <v>67</v>
      </c>
      <c r="C17" s="14" t="s">
        <v>90</v>
      </c>
      <c r="D17" s="14" t="s">
        <v>64</v>
      </c>
      <c r="E17" s="14" t="s">
        <v>43</v>
      </c>
      <c r="F17" s="15">
        <v>10</v>
      </c>
      <c r="G17" s="15">
        <v>14</v>
      </c>
      <c r="H17" s="16">
        <f>WORKDAY.INTL(Dashboard!$B$3,F17,"0000001")</f>
        <v>46331</v>
      </c>
      <c r="I17" s="16">
        <f>WORKDAY.INTL(Dashboard!$B$3,G17,"0000001")</f>
        <v>46336</v>
      </c>
      <c r="J17" s="14"/>
      <c r="K17" s="14" t="s">
        <v>44</v>
      </c>
      <c r="L17" s="15" t="s">
        <v>18</v>
      </c>
      <c r="M17" s="14" t="s">
        <v>91</v>
      </c>
    </row>
    <row r="18" ht="15" customHeight="1" spans="1:13" x14ac:dyDescent="0.25">
      <c r="A18" s="14" t="s">
        <v>92</v>
      </c>
      <c r="B18" s="14" t="s">
        <v>93</v>
      </c>
      <c r="C18" s="14" t="s">
        <v>94</v>
      </c>
      <c r="D18" s="14" t="s">
        <v>42</v>
      </c>
      <c r="E18" s="14" t="s">
        <v>43</v>
      </c>
      <c r="F18" s="15">
        <v>2</v>
      </c>
      <c r="G18" s="15">
        <v>5</v>
      </c>
      <c r="H18" s="16">
        <f>WORKDAY.INTL(Dashboard!$B$3,F18,"0000001")</f>
        <v>46322</v>
      </c>
      <c r="I18" s="16">
        <f>WORKDAY.INTL(Dashboard!$B$3,G18,"0000001")</f>
        <v>46325</v>
      </c>
      <c r="J18" s="14" t="s">
        <v>59</v>
      </c>
      <c r="K18" s="14" t="s">
        <v>51</v>
      </c>
      <c r="L18" s="15" t="s">
        <v>18</v>
      </c>
      <c r="M18" s="14" t="s">
        <v>95</v>
      </c>
    </row>
    <row r="19" ht="15" customHeight="1" spans="1:13" x14ac:dyDescent="0.25">
      <c r="A19" s="14" t="s">
        <v>96</v>
      </c>
      <c r="B19" s="14" t="s">
        <v>93</v>
      </c>
      <c r="C19" s="14" t="s">
        <v>97</v>
      </c>
      <c r="D19" s="14" t="s">
        <v>42</v>
      </c>
      <c r="E19" s="14" t="s">
        <v>43</v>
      </c>
      <c r="F19" s="15">
        <v>2</v>
      </c>
      <c r="G19" s="15">
        <v>5</v>
      </c>
      <c r="H19" s="16">
        <f>WORKDAY.INTL(Dashboard!$B$3,F19,"0000001")</f>
        <v>46322</v>
      </c>
      <c r="I19" s="16">
        <f>WORKDAY.INTL(Dashboard!$B$3,G19,"0000001")</f>
        <v>46325</v>
      </c>
      <c r="J19" s="14" t="s">
        <v>49</v>
      </c>
      <c r="K19" s="14" t="s">
        <v>51</v>
      </c>
      <c r="L19" s="15" t="s">
        <v>19</v>
      </c>
      <c r="M19" s="14" t="s">
        <v>98</v>
      </c>
    </row>
    <row r="20" ht="15" customHeight="1" spans="1:13" x14ac:dyDescent="0.25">
      <c r="A20" s="14" t="s">
        <v>99</v>
      </c>
      <c r="B20" s="14" t="s">
        <v>93</v>
      </c>
      <c r="C20" s="14" t="s">
        <v>100</v>
      </c>
      <c r="D20" s="14" t="s">
        <v>42</v>
      </c>
      <c r="E20" s="14" t="s">
        <v>43</v>
      </c>
      <c r="F20" s="15">
        <v>6</v>
      </c>
      <c r="G20" s="15">
        <v>11</v>
      </c>
      <c r="H20" s="16">
        <f>WORKDAY.INTL(Dashboard!$B$3,F20,"0000001")</f>
        <v>46326</v>
      </c>
      <c r="I20" s="16">
        <f>WORKDAY.INTL(Dashboard!$B$3,G20,"0000001")</f>
        <v>46332</v>
      </c>
      <c r="J20" s="14" t="s">
        <v>96</v>
      </c>
      <c r="K20" s="14" t="s">
        <v>51</v>
      </c>
      <c r="L20" s="15" t="s">
        <v>21</v>
      </c>
      <c r="M20" s="14" t="s">
        <v>101</v>
      </c>
    </row>
    <row r="21" ht="15" customHeight="1" spans="1:13" x14ac:dyDescent="0.25">
      <c r="A21" s="14" t="s">
        <v>102</v>
      </c>
      <c r="B21" s="14" t="s">
        <v>93</v>
      </c>
      <c r="C21" s="14" t="s">
        <v>103</v>
      </c>
      <c r="D21" s="14" t="s">
        <v>42</v>
      </c>
      <c r="E21" s="14" t="s">
        <v>43</v>
      </c>
      <c r="F21" s="15">
        <v>6</v>
      </c>
      <c r="G21" s="15">
        <v>11</v>
      </c>
      <c r="H21" s="16">
        <f>WORKDAY.INTL(Dashboard!$B$3,F21,"0000001")</f>
        <v>46326</v>
      </c>
      <c r="I21" s="16">
        <f>WORKDAY.INTL(Dashboard!$B$3,G21,"0000001")</f>
        <v>46332</v>
      </c>
      <c r="J21" s="14" t="s">
        <v>56</v>
      </c>
      <c r="K21" s="14" t="s">
        <v>51</v>
      </c>
      <c r="L21" s="15" t="s">
        <v>19</v>
      </c>
      <c r="M21" s="14" t="s">
        <v>104</v>
      </c>
    </row>
    <row r="22" ht="15" customHeight="1" spans="1:13" x14ac:dyDescent="0.25">
      <c r="A22" s="14" t="s">
        <v>105</v>
      </c>
      <c r="B22" s="14" t="s">
        <v>93</v>
      </c>
      <c r="C22" s="14" t="s">
        <v>106</v>
      </c>
      <c r="D22" s="14" t="s">
        <v>42</v>
      </c>
      <c r="E22" s="14" t="s">
        <v>43</v>
      </c>
      <c r="F22" s="15">
        <v>6</v>
      </c>
      <c r="G22" s="15">
        <v>10</v>
      </c>
      <c r="H22" s="16">
        <f>WORKDAY.INTL(Dashboard!$B$3,F22,"0000001")</f>
        <v>46326</v>
      </c>
      <c r="I22" s="16">
        <f>WORKDAY.INTL(Dashboard!$B$3,G22,"0000001")</f>
        <v>46331</v>
      </c>
      <c r="J22" s="14" t="s">
        <v>92</v>
      </c>
      <c r="K22" s="14" t="s">
        <v>51</v>
      </c>
      <c r="L22" s="15" t="s">
        <v>18</v>
      </c>
      <c r="M22" s="14"/>
    </row>
    <row r="23" ht="15" customHeight="1" spans="1:13" x14ac:dyDescent="0.25">
      <c r="A23" s="14" t="s">
        <v>107</v>
      </c>
      <c r="B23" s="14" t="s">
        <v>93</v>
      </c>
      <c r="C23" s="14" t="s">
        <v>108</v>
      </c>
      <c r="D23" s="14" t="s">
        <v>42</v>
      </c>
      <c r="E23" s="14" t="s">
        <v>43</v>
      </c>
      <c r="F23" s="15">
        <v>8</v>
      </c>
      <c r="G23" s="15">
        <v>12</v>
      </c>
      <c r="H23" s="16">
        <f>WORKDAY.INTL(Dashboard!$B$3,F23,"0000001")</f>
        <v>46329</v>
      </c>
      <c r="I23" s="16">
        <f>WORKDAY.INTL(Dashboard!$B$3,G23,"0000001")</f>
        <v>46333</v>
      </c>
      <c r="J23" s="14" t="s">
        <v>53</v>
      </c>
      <c r="K23" s="14" t="s">
        <v>51</v>
      </c>
      <c r="L23" s="15" t="s">
        <v>18</v>
      </c>
      <c r="M23" s="14"/>
    </row>
    <row r="24" ht="15" customHeight="1" spans="1:13" x14ac:dyDescent="0.25">
      <c r="A24" s="14" t="s">
        <v>109</v>
      </c>
      <c r="B24" s="14" t="s">
        <v>93</v>
      </c>
      <c r="C24" s="14" t="s">
        <v>110</v>
      </c>
      <c r="D24" s="14" t="s">
        <v>69</v>
      </c>
      <c r="E24" s="14" t="s">
        <v>43</v>
      </c>
      <c r="F24" s="15">
        <v>12</v>
      </c>
      <c r="G24" s="15">
        <v>14</v>
      </c>
      <c r="H24" s="16">
        <f>WORKDAY.INTL(Dashboard!$B$3,F24,"0000001")</f>
        <v>46333</v>
      </c>
      <c r="I24" s="16">
        <f>WORKDAY.INTL(Dashboard!$B$3,G24,"0000001")</f>
        <v>46336</v>
      </c>
      <c r="J24" s="14" t="s">
        <v>105</v>
      </c>
      <c r="K24" s="14" t="s">
        <v>44</v>
      </c>
      <c r="L24" s="15" t="s">
        <v>18</v>
      </c>
      <c r="M24" s="14" t="s">
        <v>111</v>
      </c>
    </row>
    <row r="25" ht="15" customHeight="1" spans="1:13" x14ac:dyDescent="0.25">
      <c r="A25" s="14" t="s">
        <v>112</v>
      </c>
      <c r="B25" s="14" t="s">
        <v>113</v>
      </c>
      <c r="C25" s="14" t="s">
        <v>114</v>
      </c>
      <c r="D25" s="14" t="s">
        <v>115</v>
      </c>
      <c r="E25" s="14" t="s">
        <v>43</v>
      </c>
      <c r="F25" s="15">
        <v>7</v>
      </c>
      <c r="G25" s="15">
        <v>8</v>
      </c>
      <c r="H25" s="16">
        <f>WORKDAY.INTL(Dashboard!$B$3,F25,"0000001")</f>
        <v>46328</v>
      </c>
      <c r="I25" s="16">
        <f>WORKDAY.INTL(Dashboard!$B$3,G25,"0000001")</f>
        <v>46329</v>
      </c>
      <c r="J25" s="14" t="s">
        <v>107</v>
      </c>
      <c r="K25" s="14" t="s">
        <v>51</v>
      </c>
      <c r="L25" s="15" t="s">
        <v>21</v>
      </c>
      <c r="M25" s="14" t="s">
        <v>116</v>
      </c>
    </row>
    <row r="26" ht="15" customHeight="1" spans="1:13" x14ac:dyDescent="0.25">
      <c r="A26" s="14" t="s">
        <v>117</v>
      </c>
      <c r="B26" s="14" t="s">
        <v>113</v>
      </c>
      <c r="C26" s="14" t="s">
        <v>118</v>
      </c>
      <c r="D26" s="14" t="s">
        <v>115</v>
      </c>
      <c r="E26" s="14" t="s">
        <v>43</v>
      </c>
      <c r="F26" s="15">
        <v>8</v>
      </c>
      <c r="G26" s="15">
        <v>12</v>
      </c>
      <c r="H26" s="16">
        <f>WORKDAY.INTL(Dashboard!$B$3,F26,"0000001")</f>
        <v>46329</v>
      </c>
      <c r="I26" s="16">
        <f>WORKDAY.INTL(Dashboard!$B$3,G26,"0000001")</f>
        <v>46333</v>
      </c>
      <c r="J26" s="14" t="s">
        <v>105</v>
      </c>
      <c r="K26" s="14" t="s">
        <v>51</v>
      </c>
      <c r="L26" s="15" t="s">
        <v>19</v>
      </c>
      <c r="M26" s="14" t="s">
        <v>119</v>
      </c>
    </row>
    <row r="27" ht="15" customHeight="1" spans="1:13" x14ac:dyDescent="0.25">
      <c r="A27" s="14" t="s">
        <v>120</v>
      </c>
      <c r="B27" s="14" t="s">
        <v>113</v>
      </c>
      <c r="C27" s="14" t="s">
        <v>121</v>
      </c>
      <c r="D27" s="14" t="s">
        <v>115</v>
      </c>
      <c r="E27" s="14" t="s">
        <v>43</v>
      </c>
      <c r="F27" s="15">
        <v>10</v>
      </c>
      <c r="G27" s="15">
        <v>13</v>
      </c>
      <c r="H27" s="16">
        <f>WORKDAY.INTL(Dashboard!$B$3,F27,"0000001")</f>
        <v>46331</v>
      </c>
      <c r="I27" s="16">
        <f>WORKDAY.INTL(Dashboard!$B$3,G27,"0000001")</f>
        <v>46335</v>
      </c>
      <c r="J27" s="14" t="s">
        <v>112</v>
      </c>
      <c r="K27" s="14" t="s">
        <v>51</v>
      </c>
      <c r="L27" s="15" t="s">
        <v>19</v>
      </c>
      <c r="M27" s="14" t="s">
        <v>122</v>
      </c>
    </row>
    <row r="28" ht="15" customHeight="1" spans="1:13" x14ac:dyDescent="0.25">
      <c r="A28" s="14" t="s">
        <v>123</v>
      </c>
      <c r="B28" s="14" t="s">
        <v>113</v>
      </c>
      <c r="C28" s="14" t="s">
        <v>124</v>
      </c>
      <c r="D28" s="14" t="s">
        <v>115</v>
      </c>
      <c r="E28" s="14" t="s">
        <v>43</v>
      </c>
      <c r="F28" s="15">
        <v>10</v>
      </c>
      <c r="G28" s="15">
        <v>14</v>
      </c>
      <c r="H28" s="16">
        <f>WORKDAY.INTL(Dashboard!$B$3,F28,"0000001")</f>
        <v>46331</v>
      </c>
      <c r="I28" s="16">
        <f>WORKDAY.INTL(Dashboard!$B$3,G28,"0000001")</f>
        <v>46336</v>
      </c>
      <c r="J28" s="14" t="s">
        <v>112</v>
      </c>
      <c r="K28" s="14" t="s">
        <v>51</v>
      </c>
      <c r="L28" s="15" t="s">
        <v>18</v>
      </c>
      <c r="M28" s="14"/>
    </row>
    <row r="29" ht="15" customHeight="1" spans="1:13" x14ac:dyDescent="0.25">
      <c r="A29" s="14" t="s">
        <v>125</v>
      </c>
      <c r="B29" s="14" t="s">
        <v>113</v>
      </c>
      <c r="C29" s="14" t="s">
        <v>126</v>
      </c>
      <c r="D29" s="14" t="s">
        <v>115</v>
      </c>
      <c r="E29" s="14" t="s">
        <v>43</v>
      </c>
      <c r="F29" s="15">
        <v>11</v>
      </c>
      <c r="G29" s="15">
        <v>14</v>
      </c>
      <c r="H29" s="16">
        <f>WORKDAY.INTL(Dashboard!$B$3,F29,"0000001")</f>
        <v>46332</v>
      </c>
      <c r="I29" s="16">
        <f>WORKDAY.INTL(Dashboard!$B$3,G29,"0000001")</f>
        <v>46336</v>
      </c>
      <c r="J29" s="14" t="s">
        <v>112</v>
      </c>
      <c r="K29" s="14" t="s">
        <v>51</v>
      </c>
      <c r="L29" s="15" t="s">
        <v>18</v>
      </c>
      <c r="M29" s="14"/>
    </row>
    <row r="30" ht="15" customHeight="1" spans="1:13" x14ac:dyDescent="0.25">
      <c r="A30" s="14" t="s">
        <v>127</v>
      </c>
      <c r="B30" s="14" t="s">
        <v>113</v>
      </c>
      <c r="C30" s="14" t="s">
        <v>128</v>
      </c>
      <c r="D30" s="14" t="s">
        <v>115</v>
      </c>
      <c r="E30" s="14" t="s">
        <v>43</v>
      </c>
      <c r="F30" s="15">
        <v>9</v>
      </c>
      <c r="G30" s="15">
        <v>13</v>
      </c>
      <c r="H30" s="16">
        <f>WORKDAY.INTL(Dashboard!$B$3,F30,"0000001")</f>
        <v>46330</v>
      </c>
      <c r="I30" s="16">
        <f>WORKDAY.INTL(Dashboard!$B$3,G30,"0000001")</f>
        <v>46335</v>
      </c>
      <c r="J30" s="14" t="s">
        <v>105</v>
      </c>
      <c r="K30" s="14" t="s">
        <v>51</v>
      </c>
      <c r="L30" s="15" t="s">
        <v>19</v>
      </c>
      <c r="M30" s="14" t="s">
        <v>129</v>
      </c>
    </row>
    <row r="31" ht="15" customHeight="1" spans="1:13" x14ac:dyDescent="0.25">
      <c r="A31" s="14" t="s">
        <v>130</v>
      </c>
      <c r="B31" s="14" t="s">
        <v>113</v>
      </c>
      <c r="C31" s="14" t="s">
        <v>131</v>
      </c>
      <c r="D31" s="14" t="s">
        <v>115</v>
      </c>
      <c r="E31" s="14" t="s">
        <v>43</v>
      </c>
      <c r="F31" s="15">
        <v>12</v>
      </c>
      <c r="G31" s="15">
        <v>14</v>
      </c>
      <c r="H31" s="16">
        <f>WORKDAY.INTL(Dashboard!$B$3,F31,"0000001")</f>
        <v>46333</v>
      </c>
      <c r="I31" s="16">
        <f>WORKDAY.INTL(Dashboard!$B$3,G31,"0000001")</f>
        <v>46336</v>
      </c>
      <c r="J31" s="14" t="s">
        <v>117</v>
      </c>
      <c r="K31" s="14" t="s">
        <v>51</v>
      </c>
      <c r="L31" s="15" t="s">
        <v>19</v>
      </c>
      <c r="M31" s="14" t="s">
        <v>132</v>
      </c>
    </row>
    <row r="32" ht="15" customHeight="1" spans="1:13" x14ac:dyDescent="0.25">
      <c r="A32" s="14" t="s">
        <v>133</v>
      </c>
      <c r="B32" s="14" t="s">
        <v>113</v>
      </c>
      <c r="C32" s="14" t="s">
        <v>134</v>
      </c>
      <c r="D32" s="14" t="s">
        <v>115</v>
      </c>
      <c r="E32" s="14" t="s">
        <v>43</v>
      </c>
      <c r="F32" s="15">
        <v>13</v>
      </c>
      <c r="G32" s="15">
        <v>14</v>
      </c>
      <c r="H32" s="16">
        <f>WORKDAY.INTL(Dashboard!$B$3,F32,"0000001")</f>
        <v>46335</v>
      </c>
      <c r="I32" s="16">
        <f>WORKDAY.INTL(Dashboard!$B$3,G32,"0000001")</f>
        <v>46336</v>
      </c>
      <c r="J32" s="14" t="s">
        <v>127</v>
      </c>
      <c r="K32" s="14" t="s">
        <v>51</v>
      </c>
      <c r="L32" s="15" t="s">
        <v>19</v>
      </c>
      <c r="M32" s="14" t="s">
        <v>135</v>
      </c>
    </row>
    <row r="33" ht="15" customHeight="1" spans="1:13" x14ac:dyDescent="0.25">
      <c r="A33" s="14" t="s">
        <v>136</v>
      </c>
      <c r="B33" s="14" t="s">
        <v>137</v>
      </c>
      <c r="C33" s="14" t="s">
        <v>138</v>
      </c>
      <c r="D33" s="14" t="s">
        <v>139</v>
      </c>
      <c r="E33" s="14" t="s">
        <v>43</v>
      </c>
      <c r="F33" s="15">
        <v>0</v>
      </c>
      <c r="G33" s="15">
        <v>7</v>
      </c>
      <c r="H33" s="16">
        <f>WORKDAY.INTL(Dashboard!$B$3,F33,"0000001")</f>
        <v>46319</v>
      </c>
      <c r="I33" s="16">
        <f>WORKDAY.INTL(Dashboard!$B$3,G33,"0000001")</f>
        <v>46328</v>
      </c>
      <c r="J33" s="14"/>
      <c r="K33" s="14" t="s">
        <v>44</v>
      </c>
      <c r="L33" s="15" t="s">
        <v>18</v>
      </c>
      <c r="M33" s="14" t="s">
        <v>140</v>
      </c>
    </row>
    <row r="34" ht="15" customHeight="1" spans="1:13" x14ac:dyDescent="0.25">
      <c r="A34" s="14" t="s">
        <v>141</v>
      </c>
      <c r="B34" s="14" t="s">
        <v>137</v>
      </c>
      <c r="C34" s="14" t="s">
        <v>142</v>
      </c>
      <c r="D34" s="14" t="s">
        <v>69</v>
      </c>
      <c r="E34" s="14" t="s">
        <v>43</v>
      </c>
      <c r="F34" s="15">
        <v>0</v>
      </c>
      <c r="G34" s="15">
        <v>3</v>
      </c>
      <c r="H34" s="16">
        <f>WORKDAY.INTL(Dashboard!$B$3,F34,"0000001")</f>
        <v>46319</v>
      </c>
      <c r="I34" s="16">
        <f>WORKDAY.INTL(Dashboard!$B$3,G34,"0000001")</f>
        <v>46323</v>
      </c>
      <c r="J34" s="14"/>
      <c r="K34" s="14" t="s">
        <v>44</v>
      </c>
      <c r="L34" s="15" t="s">
        <v>18</v>
      </c>
      <c r="M34" s="14" t="s">
        <v>143</v>
      </c>
    </row>
    <row r="35" ht="15" customHeight="1" spans="1:13" x14ac:dyDescent="0.25">
      <c r="A35" s="14" t="s">
        <v>144</v>
      </c>
      <c r="B35" s="14" t="s">
        <v>137</v>
      </c>
      <c r="C35" s="14" t="s">
        <v>145</v>
      </c>
      <c r="D35" s="14" t="s">
        <v>139</v>
      </c>
      <c r="E35" s="14" t="s">
        <v>43</v>
      </c>
      <c r="F35" s="15">
        <v>7</v>
      </c>
      <c r="G35" s="15">
        <v>21</v>
      </c>
      <c r="H35" s="16">
        <f>WORKDAY.INTL(Dashboard!$B$3,F35,"0000001")</f>
        <v>46328</v>
      </c>
      <c r="I35" s="16">
        <f>WORKDAY.INTL(Dashboard!$B$3,G35,"0000001")</f>
        <v>46344</v>
      </c>
      <c r="J35" s="14" t="s">
        <v>136</v>
      </c>
      <c r="K35" s="14" t="s">
        <v>51</v>
      </c>
      <c r="L35" s="15" t="s">
        <v>18</v>
      </c>
      <c r="M35" s="14" t="s">
        <v>146</v>
      </c>
    </row>
    <row r="36" ht="15" customHeight="1" spans="1:13" x14ac:dyDescent="0.25">
      <c r="A36" s="14" t="s">
        <v>147</v>
      </c>
      <c r="B36" s="14" t="s">
        <v>137</v>
      </c>
      <c r="C36" s="14" t="s">
        <v>148</v>
      </c>
      <c r="D36" s="14" t="s">
        <v>69</v>
      </c>
      <c r="E36" s="14" t="s">
        <v>43</v>
      </c>
      <c r="F36" s="15">
        <v>21</v>
      </c>
      <c r="G36" s="15">
        <v>23</v>
      </c>
      <c r="H36" s="16">
        <f>WORKDAY.INTL(Dashboard!$B$3,F36,"0000001")</f>
        <v>46344</v>
      </c>
      <c r="I36" s="16">
        <f>WORKDAY.INTL(Dashboard!$B$3,G36,"0000001")</f>
        <v>46346</v>
      </c>
      <c r="J36" s="14" t="s">
        <v>144</v>
      </c>
      <c r="K36" s="14" t="s">
        <v>44</v>
      </c>
      <c r="L36" s="15" t="s">
        <v>18</v>
      </c>
      <c r="M36" s="14"/>
    </row>
    <row r="37" ht="15" customHeight="1" spans="1:13" x14ac:dyDescent="0.25">
      <c r="A37" s="14" t="s">
        <v>149</v>
      </c>
      <c r="B37" s="14" t="s">
        <v>150</v>
      </c>
      <c r="C37" s="14" t="s">
        <v>151</v>
      </c>
      <c r="D37" s="14" t="s">
        <v>69</v>
      </c>
      <c r="E37" s="14" t="s">
        <v>43</v>
      </c>
      <c r="F37" s="15">
        <v>22</v>
      </c>
      <c r="G37" s="15">
        <v>24</v>
      </c>
      <c r="H37" s="16">
        <f>WORKDAY.INTL(Dashboard!$B$3,F37,"0000001")</f>
        <v>46345</v>
      </c>
      <c r="I37" s="16">
        <f>WORKDAY.INTL(Dashboard!$B$3,G37,"0000001")</f>
        <v>46347</v>
      </c>
      <c r="J37" s="14" t="s">
        <v>130</v>
      </c>
      <c r="K37" s="14" t="s">
        <v>44</v>
      </c>
      <c r="L37" s="15" t="s">
        <v>18</v>
      </c>
      <c r="M37" s="14"/>
    </row>
    <row r="38" ht="15" customHeight="1" spans="1:13" x14ac:dyDescent="0.25">
      <c r="A38" s="14" t="s">
        <v>152</v>
      </c>
      <c r="B38" s="14" t="s">
        <v>150</v>
      </c>
      <c r="C38" s="14" t="s">
        <v>153</v>
      </c>
      <c r="D38" s="14" t="s">
        <v>115</v>
      </c>
      <c r="E38" s="14" t="s">
        <v>43</v>
      </c>
      <c r="F38" s="15">
        <v>24</v>
      </c>
      <c r="G38" s="15">
        <v>26</v>
      </c>
      <c r="H38" s="16">
        <f>WORKDAY.INTL(Dashboard!$B$3,F38,"0000001")</f>
        <v>46347</v>
      </c>
      <c r="I38" s="16">
        <f>WORKDAY.INTL(Dashboard!$B$3,G38,"0000001")</f>
        <v>46350</v>
      </c>
      <c r="J38" s="14" t="s">
        <v>149</v>
      </c>
      <c r="K38" s="14" t="s">
        <v>51</v>
      </c>
      <c r="L38" s="15" t="s">
        <v>18</v>
      </c>
      <c r="M38" s="14"/>
    </row>
    <row r="39" ht="15" customHeight="1" spans="1:13" x14ac:dyDescent="0.25">
      <c r="A39" s="14" t="s">
        <v>154</v>
      </c>
      <c r="B39" s="14" t="s">
        <v>150</v>
      </c>
      <c r="C39" s="14" t="s">
        <v>155</v>
      </c>
      <c r="D39" s="14" t="s">
        <v>64</v>
      </c>
      <c r="E39" s="14" t="s">
        <v>43</v>
      </c>
      <c r="F39" s="15">
        <v>22</v>
      </c>
      <c r="G39" s="15">
        <v>26</v>
      </c>
      <c r="H39" s="16">
        <f>WORKDAY.INTL(Dashboard!$B$3,F39,"0000001")</f>
        <v>46345</v>
      </c>
      <c r="I39" s="16">
        <f>WORKDAY.INTL(Dashboard!$B$3,G39,"0000001")</f>
        <v>46350</v>
      </c>
      <c r="J39" s="14"/>
      <c r="K39" s="14" t="s">
        <v>51</v>
      </c>
      <c r="L39" s="15" t="s">
        <v>18</v>
      </c>
      <c r="M39" s="14" t="s">
        <v>156</v>
      </c>
    </row>
    <row r="40" ht="15" customHeight="1" spans="1:13" x14ac:dyDescent="0.25">
      <c r="A40" s="14" t="s">
        <v>157</v>
      </c>
      <c r="B40" s="14" t="s">
        <v>150</v>
      </c>
      <c r="C40" s="14" t="s">
        <v>158</v>
      </c>
      <c r="D40" s="14" t="s">
        <v>115</v>
      </c>
      <c r="E40" s="14" t="s">
        <v>43</v>
      </c>
      <c r="F40" s="15">
        <v>26</v>
      </c>
      <c r="G40" s="15">
        <v>27</v>
      </c>
      <c r="H40" s="16">
        <f>WORKDAY.INTL(Dashboard!$B$3,F40,"0000001")</f>
        <v>46350</v>
      </c>
      <c r="I40" s="16">
        <f>WORKDAY.INTL(Dashboard!$B$3,G40,"0000001")</f>
        <v>46351</v>
      </c>
      <c r="J40" s="14" t="s">
        <v>152</v>
      </c>
      <c r="K40" s="14" t="s">
        <v>51</v>
      </c>
      <c r="L40" s="15" t="s">
        <v>18</v>
      </c>
      <c r="M40" s="14"/>
    </row>
    <row r="41" ht="15" customHeight="1" spans="1:13" x14ac:dyDescent="0.25">
      <c r="A41" s="14" t="s">
        <v>159</v>
      </c>
      <c r="B41" s="14" t="s">
        <v>150</v>
      </c>
      <c r="C41" s="14" t="s">
        <v>160</v>
      </c>
      <c r="D41" s="14" t="s">
        <v>64</v>
      </c>
      <c r="E41" s="14" t="s">
        <v>43</v>
      </c>
      <c r="F41" s="15">
        <v>27</v>
      </c>
      <c r="G41" s="15">
        <v>28</v>
      </c>
      <c r="H41" s="16">
        <f>WORKDAY.INTL(Dashboard!$B$3,F41,"0000001")</f>
        <v>46351</v>
      </c>
      <c r="I41" s="16">
        <f>WORKDAY.INTL(Dashboard!$B$3,G41,"0000001")</f>
        <v>46352</v>
      </c>
      <c r="J41" s="14" t="s">
        <v>157</v>
      </c>
      <c r="K41" s="14" t="s">
        <v>51</v>
      </c>
      <c r="L41" s="15" t="s">
        <v>18</v>
      </c>
      <c r="M41" s="14" t="s">
        <v>161</v>
      </c>
    </row>
  </sheetData>
  <autoFilter ref="A1:M41"/>
  <conditionalFormatting sqref="L2:L80">
    <cfRule type="cellIs" dxfId="0" priority="2" operator="equal">
      <formula>"Done"</formula>
    </cfRule>
    <cfRule type="cellIs" dxfId="1" priority="3" operator="equal">
      <formula>"Blocked"</formula>
    </cfRule>
  </conditionalFormatting>
  <dataValidations count="2">
    <dataValidation type="list" allowBlank="1" errorStyle="stop" sqref="L10:L80">
      <formula1>"Not started,In progress,Blocked,Done"</formula1>
      <formula2>0</formula2>
    </dataValidation>
    <dataValidation type="list" allowBlank="1" errorStyle="stop" sqref="L2:L80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 zoomScale="100" zoomScaleNormal="100" view="normal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2" width="30" style="1" customWidth="1"/>
    <col min="3" max="3" width="20" style="1" customWidth="1"/>
    <col min="4" max="4" width="16" style="1" customWidth="1"/>
    <col min="5" max="5" width="55" style="1" customWidth="1"/>
    <col min="6" max="6" width="14" style="1" customWidth="1"/>
    <col min="7" max="7" width="55" style="1" customWidth="1"/>
  </cols>
  <sheetData>
    <row r="1" ht="15" customHeight="1" spans="1:7" x14ac:dyDescent="0.25">
      <c r="A1" s="13" t="s">
        <v>162</v>
      </c>
      <c r="B1" s="13" t="s">
        <v>163</v>
      </c>
      <c r="C1" s="13" t="s">
        <v>164</v>
      </c>
      <c r="D1" s="13" t="s">
        <v>31</v>
      </c>
      <c r="E1" s="13" t="s">
        <v>165</v>
      </c>
      <c r="F1" s="13" t="s">
        <v>16</v>
      </c>
      <c r="G1" s="13" t="s">
        <v>38</v>
      </c>
    </row>
    <row r="2" ht="15" customHeight="1" spans="1:7" x14ac:dyDescent="0.25">
      <c r="A2" s="14" t="s">
        <v>166</v>
      </c>
      <c r="B2" s="14" t="s">
        <v>167</v>
      </c>
      <c r="C2" s="14" t="s">
        <v>168</v>
      </c>
      <c r="D2" s="14" t="s">
        <v>169</v>
      </c>
      <c r="E2" s="14" t="s">
        <v>170</v>
      </c>
      <c r="F2" s="14" t="s">
        <v>19</v>
      </c>
      <c r="G2" s="14" t="s">
        <v>171</v>
      </c>
    </row>
    <row r="3" ht="15" customHeight="1" spans="1:7" x14ac:dyDescent="0.25">
      <c r="A3" s="14" t="s">
        <v>172</v>
      </c>
      <c r="B3" s="14" t="s">
        <v>173</v>
      </c>
      <c r="C3" s="14" t="s">
        <v>174</v>
      </c>
      <c r="D3" s="14" t="s">
        <v>169</v>
      </c>
      <c r="E3" s="14" t="s">
        <v>175</v>
      </c>
      <c r="F3" s="14" t="s">
        <v>19</v>
      </c>
      <c r="G3" s="14" t="s">
        <v>176</v>
      </c>
    </row>
    <row r="4" ht="15" customHeight="1" spans="1:7" x14ac:dyDescent="0.25">
      <c r="A4" s="14" t="s">
        <v>177</v>
      </c>
      <c r="B4" s="14" t="s">
        <v>178</v>
      </c>
      <c r="C4" s="14" t="s">
        <v>174</v>
      </c>
      <c r="D4" s="14" t="s">
        <v>179</v>
      </c>
      <c r="E4" s="14" t="s">
        <v>180</v>
      </c>
      <c r="F4" s="14" t="s">
        <v>18</v>
      </c>
      <c r="G4" s="14" t="s">
        <v>181</v>
      </c>
    </row>
    <row r="5" ht="23.25" customHeight="1" spans="1:7" x14ac:dyDescent="0.25">
      <c r="A5" s="14" t="s">
        <v>182</v>
      </c>
      <c r="B5" s="14" t="s">
        <v>183</v>
      </c>
      <c r="C5" s="14" t="s">
        <v>184</v>
      </c>
      <c r="D5" s="14" t="s">
        <v>169</v>
      </c>
      <c r="E5" s="14" t="s">
        <v>185</v>
      </c>
      <c r="F5" s="14" t="s">
        <v>19</v>
      </c>
      <c r="G5" s="14" t="s">
        <v>186</v>
      </c>
    </row>
    <row r="6" ht="15" customHeight="1" spans="1:7" x14ac:dyDescent="0.25">
      <c r="A6" s="14" t="s">
        <v>187</v>
      </c>
      <c r="B6" s="14" t="s">
        <v>188</v>
      </c>
      <c r="C6" s="14" t="s">
        <v>184</v>
      </c>
      <c r="D6" s="14" t="s">
        <v>179</v>
      </c>
      <c r="E6" s="14" t="s">
        <v>189</v>
      </c>
      <c r="F6" s="14" t="s">
        <v>18</v>
      </c>
      <c r="G6" s="14" t="s">
        <v>190</v>
      </c>
    </row>
    <row r="7" ht="15" customHeight="1" spans="1:7" x14ac:dyDescent="0.25">
      <c r="A7" s="14" t="s">
        <v>191</v>
      </c>
      <c r="B7" s="14" t="s">
        <v>192</v>
      </c>
      <c r="C7" s="14" t="s">
        <v>193</v>
      </c>
      <c r="D7" s="14" t="s">
        <v>169</v>
      </c>
      <c r="E7" s="14" t="s">
        <v>194</v>
      </c>
      <c r="F7" s="14" t="s">
        <v>18</v>
      </c>
      <c r="G7" s="14" t="s">
        <v>195</v>
      </c>
    </row>
    <row r="8" ht="15" customHeight="1" spans="1:7" x14ac:dyDescent="0.25">
      <c r="A8" s="14" t="s">
        <v>196</v>
      </c>
      <c r="B8" s="14" t="s">
        <v>197</v>
      </c>
      <c r="C8" s="14" t="s">
        <v>193</v>
      </c>
      <c r="D8" s="14" t="s">
        <v>169</v>
      </c>
      <c r="E8" s="14" t="s">
        <v>198</v>
      </c>
      <c r="F8" s="14" t="s">
        <v>18</v>
      </c>
      <c r="G8" s="14"/>
    </row>
    <row r="9" ht="15" customHeight="1" spans="1:7" x14ac:dyDescent="0.25">
      <c r="A9" s="14" t="s">
        <v>199</v>
      </c>
      <c r="B9" s="14" t="s">
        <v>200</v>
      </c>
      <c r="C9" s="14" t="s">
        <v>193</v>
      </c>
      <c r="D9" s="14" t="s">
        <v>169</v>
      </c>
      <c r="E9" s="14" t="s">
        <v>201</v>
      </c>
      <c r="F9" s="14" t="s">
        <v>18</v>
      </c>
      <c r="G9" s="14" t="s">
        <v>202</v>
      </c>
    </row>
    <row r="10" ht="15" customHeight="1" spans="1:7" x14ac:dyDescent="0.25">
      <c r="A10" s="14" t="s">
        <v>203</v>
      </c>
      <c r="B10" s="14" t="s">
        <v>204</v>
      </c>
      <c r="C10" s="14" t="s">
        <v>184</v>
      </c>
      <c r="D10" s="14" t="s">
        <v>205</v>
      </c>
      <c r="E10" s="14" t="s">
        <v>206</v>
      </c>
      <c r="F10" s="14" t="s">
        <v>18</v>
      </c>
      <c r="G10" s="14" t="s">
        <v>207</v>
      </c>
    </row>
    <row r="11" ht="15" customHeight="1" spans="1:7" x14ac:dyDescent="0.25">
      <c r="A11" s="14" t="s">
        <v>208</v>
      </c>
      <c r="B11" s="14" t="s">
        <v>209</v>
      </c>
      <c r="C11" s="14" t="s">
        <v>210</v>
      </c>
      <c r="D11" s="14" t="s">
        <v>169</v>
      </c>
      <c r="E11" s="14" t="s">
        <v>211</v>
      </c>
      <c r="F11" s="14" t="s">
        <v>18</v>
      </c>
      <c r="G11" s="14" t="s">
        <v>212</v>
      </c>
    </row>
    <row r="12" ht="15" customHeight="1" spans="1:7" x14ac:dyDescent="0.25">
      <c r="A12" s="14" t="s">
        <v>213</v>
      </c>
      <c r="B12" s="14" t="s">
        <v>214</v>
      </c>
      <c r="C12" s="14" t="s">
        <v>184</v>
      </c>
      <c r="D12" s="14" t="s">
        <v>179</v>
      </c>
      <c r="E12" s="14" t="s">
        <v>215</v>
      </c>
      <c r="F12" s="14" t="s">
        <v>18</v>
      </c>
      <c r="G12" s="14" t="s">
        <v>216</v>
      </c>
    </row>
    <row r="13" ht="15" customHeight="1" spans="1:7" x14ac:dyDescent="0.25">
      <c r="A13" s="14" t="s">
        <v>217</v>
      </c>
      <c r="B13" s="14" t="s">
        <v>218</v>
      </c>
      <c r="C13" s="14" t="s">
        <v>210</v>
      </c>
      <c r="D13" s="14" t="s">
        <v>169</v>
      </c>
      <c r="E13" s="14" t="s">
        <v>219</v>
      </c>
      <c r="F13" s="14" t="s">
        <v>18</v>
      </c>
      <c r="G13" s="14" t="s">
        <v>220</v>
      </c>
    </row>
    <row r="14" ht="15" customHeight="1" spans="1:7" x14ac:dyDescent="0.25">
      <c r="A14" s="14" t="s">
        <v>221</v>
      </c>
      <c r="B14" s="14" t="s">
        <v>222</v>
      </c>
      <c r="C14" s="14" t="s">
        <v>210</v>
      </c>
      <c r="D14" s="14" t="s">
        <v>205</v>
      </c>
      <c r="E14" s="14" t="s">
        <v>223</v>
      </c>
      <c r="F14" s="14" t="s">
        <v>18</v>
      </c>
      <c r="G14" s="14" t="s">
        <v>224</v>
      </c>
    </row>
    <row r="15" ht="15" customHeight="1" spans="1:7" x14ac:dyDescent="0.25">
      <c r="A15" s="14" t="s">
        <v>225</v>
      </c>
      <c r="B15" s="14" t="s">
        <v>226</v>
      </c>
      <c r="C15" s="14" t="s">
        <v>210</v>
      </c>
      <c r="D15" s="14" t="s">
        <v>205</v>
      </c>
      <c r="E15" s="14" t="s">
        <v>227</v>
      </c>
      <c r="F15" s="14" t="s">
        <v>18</v>
      </c>
      <c r="G15" s="14" t="s">
        <v>228</v>
      </c>
    </row>
    <row r="16" ht="15" customHeight="1" spans="1:7" x14ac:dyDescent="0.25">
      <c r="A16" s="14" t="s">
        <v>229</v>
      </c>
      <c r="B16" s="14" t="s">
        <v>230</v>
      </c>
      <c r="C16" s="14" t="s">
        <v>210</v>
      </c>
      <c r="D16" s="14" t="s">
        <v>231</v>
      </c>
      <c r="E16" s="14" t="s">
        <v>232</v>
      </c>
      <c r="F16" s="14" t="s">
        <v>18</v>
      </c>
      <c r="G16" s="14" t="s">
        <v>233</v>
      </c>
    </row>
    <row r="17" ht="15" customHeight="1" spans="1:7" x14ac:dyDescent="0.25">
      <c r="A17" s="14" t="s">
        <v>234</v>
      </c>
      <c r="B17" s="14" t="s">
        <v>235</v>
      </c>
      <c r="C17" s="14" t="s">
        <v>174</v>
      </c>
      <c r="D17" s="14" t="s">
        <v>231</v>
      </c>
      <c r="E17" s="14" t="s">
        <v>236</v>
      </c>
      <c r="F17" s="14" t="s">
        <v>18</v>
      </c>
      <c r="G17" s="14" t="s">
        <v>237</v>
      </c>
    </row>
  </sheetData>
  <dataValidations count="2">
    <dataValidation type="list" allowBlank="1" errorStyle="stop" sqref="F10:F17">
      <formula1>"Not started,In progress,Blocked,Done"</formula1>
      <formula2>0</formula2>
    </dataValidation>
    <dataValidation type="list" allowBlank="1" errorStyle="stop" sqref="F2:F17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zoomScale="100" zoomScaleNormal="100" view="normal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5" style="1" customWidth="1"/>
    <col min="2" max="2" width="55" style="1" customWidth="1"/>
    <col min="3" max="3" width="40" style="1" customWidth="1"/>
    <col min="4" max="6" width="14" style="1" customWidth="1"/>
    <col min="7" max="7" width="50" style="1" customWidth="1"/>
  </cols>
  <sheetData>
    <row r="1" ht="26.25" customHeight="1" spans="1:7" x14ac:dyDescent="0.25">
      <c r="A1" s="13" t="s">
        <v>238</v>
      </c>
      <c r="B1" s="13" t="s">
        <v>239</v>
      </c>
      <c r="C1" s="13" t="s">
        <v>240</v>
      </c>
      <c r="D1" s="13" t="s">
        <v>241</v>
      </c>
      <c r="E1" s="13" t="s">
        <v>16</v>
      </c>
      <c r="F1" s="13" t="s">
        <v>242</v>
      </c>
      <c r="G1" s="13" t="s">
        <v>38</v>
      </c>
    </row>
    <row r="2" ht="15" customHeight="1" spans="1:7" x14ac:dyDescent="0.25">
      <c r="A2" s="14">
        <v>1</v>
      </c>
      <c r="B2" s="14" t="s">
        <v>243</v>
      </c>
      <c r="C2" s="14" t="s">
        <v>244</v>
      </c>
      <c r="D2" s="14" t="s">
        <v>42</v>
      </c>
      <c r="E2" s="15" t="s">
        <v>18</v>
      </c>
      <c r="F2" s="15"/>
      <c r="G2" s="14"/>
    </row>
    <row r="3" ht="15" customHeight="1" spans="1:7" x14ac:dyDescent="0.25">
      <c r="A3" s="14">
        <v>2</v>
      </c>
      <c r="B3" s="14" t="s">
        <v>245</v>
      </c>
      <c r="C3" s="14" t="s">
        <v>246</v>
      </c>
      <c r="D3" s="14" t="s">
        <v>42</v>
      </c>
      <c r="E3" s="15" t="s">
        <v>18</v>
      </c>
      <c r="F3" s="15"/>
      <c r="G3" s="14" t="s">
        <v>247</v>
      </c>
    </row>
    <row r="4" ht="15" customHeight="1" spans="1:7" x14ac:dyDescent="0.25">
      <c r="A4" s="14">
        <v>3</v>
      </c>
      <c r="B4" s="14" t="s">
        <v>248</v>
      </c>
      <c r="C4" s="14" t="s">
        <v>249</v>
      </c>
      <c r="D4" s="14" t="s">
        <v>64</v>
      </c>
      <c r="E4" s="15" t="s">
        <v>18</v>
      </c>
      <c r="F4" s="15"/>
      <c r="G4" s="14" t="s">
        <v>250</v>
      </c>
    </row>
    <row r="5" ht="15" customHeight="1" spans="1:7" x14ac:dyDescent="0.25">
      <c r="A5" s="14">
        <v>4</v>
      </c>
      <c r="B5" s="14" t="s">
        <v>251</v>
      </c>
      <c r="C5" s="14" t="s">
        <v>252</v>
      </c>
      <c r="D5" s="14" t="s">
        <v>64</v>
      </c>
      <c r="E5" s="15" t="s">
        <v>18</v>
      </c>
      <c r="F5" s="15"/>
      <c r="G5" s="14" t="s">
        <v>253</v>
      </c>
    </row>
    <row r="6" ht="15" customHeight="1" spans="1:7" x14ac:dyDescent="0.25">
      <c r="A6" s="14">
        <v>5</v>
      </c>
      <c r="B6" s="14" t="s">
        <v>254</v>
      </c>
      <c r="C6" s="14" t="s">
        <v>255</v>
      </c>
      <c r="D6" s="14" t="s">
        <v>64</v>
      </c>
      <c r="E6" s="15" t="s">
        <v>18</v>
      </c>
      <c r="F6" s="15"/>
      <c r="G6" s="14" t="s">
        <v>256</v>
      </c>
    </row>
    <row r="7" ht="15" customHeight="1" spans="1:7" x14ac:dyDescent="0.25">
      <c r="A7" s="14">
        <v>6</v>
      </c>
      <c r="B7" s="14" t="s">
        <v>257</v>
      </c>
      <c r="C7" s="14" t="s">
        <v>258</v>
      </c>
      <c r="D7" s="14" t="s">
        <v>42</v>
      </c>
      <c r="E7" s="15" t="s">
        <v>18</v>
      </c>
      <c r="F7" s="15"/>
      <c r="G7" s="14" t="s">
        <v>259</v>
      </c>
    </row>
    <row r="8" ht="15" customHeight="1" spans="1:7" x14ac:dyDescent="0.25">
      <c r="A8" s="14">
        <v>7</v>
      </c>
      <c r="B8" s="14" t="s">
        <v>260</v>
      </c>
      <c r="C8" s="14" t="s">
        <v>261</v>
      </c>
      <c r="D8" s="14" t="s">
        <v>42</v>
      </c>
      <c r="E8" s="15" t="s">
        <v>18</v>
      </c>
      <c r="F8" s="15"/>
      <c r="G8" s="14" t="s">
        <v>262</v>
      </c>
    </row>
    <row r="9" ht="15" customHeight="1" spans="1:7" x14ac:dyDescent="0.25">
      <c r="A9" s="14">
        <v>8</v>
      </c>
      <c r="B9" s="14" t="s">
        <v>263</v>
      </c>
      <c r="C9" s="14" t="s">
        <v>264</v>
      </c>
      <c r="D9" s="14" t="s">
        <v>64</v>
      </c>
      <c r="E9" s="15" t="s">
        <v>18</v>
      </c>
      <c r="F9" s="15"/>
      <c r="G9" s="14" t="s">
        <v>265</v>
      </c>
    </row>
    <row r="10" ht="15" customHeight="1" spans="1:7" x14ac:dyDescent="0.25">
      <c r="A10" s="14">
        <v>9</v>
      </c>
      <c r="B10" s="14" t="s">
        <v>266</v>
      </c>
      <c r="C10" s="14" t="s">
        <v>267</v>
      </c>
      <c r="D10" s="14" t="s">
        <v>64</v>
      </c>
      <c r="E10" s="15" t="s">
        <v>18</v>
      </c>
      <c r="F10" s="15"/>
      <c r="G10" s="14"/>
    </row>
    <row r="11" ht="23.25" customHeight="1" spans="1:7" x14ac:dyDescent="0.25">
      <c r="A11" s="14">
        <v>10</v>
      </c>
      <c r="B11" s="14" t="s">
        <v>268</v>
      </c>
      <c r="C11" s="14" t="s">
        <v>269</v>
      </c>
      <c r="D11" s="14" t="s">
        <v>42</v>
      </c>
      <c r="E11" s="15" t="s">
        <v>18</v>
      </c>
      <c r="F11" s="15"/>
      <c r="G11" s="14" t="s">
        <v>270</v>
      </c>
    </row>
  </sheetData>
  <dataValidations count="2">
    <dataValidation type="list" allowBlank="1" errorStyle="stop" sqref="E10:E11">
      <formula1>"Not started,Requested,Received,Overdue"</formula1>
      <formula2>0</formula2>
    </dataValidation>
    <dataValidation type="list" allowBlank="1" errorStyle="stop" sqref="E2:E11">
      <formula1>"Not started,Requested,Received,Overdue"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zoomScale="100" zoomScaleNormal="100" view="normal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55" style="1" customWidth="1"/>
    <col min="2" max="2" width="45" style="1" customWidth="1"/>
    <col min="3" max="3" width="24" style="1" customWidth="1"/>
    <col min="4" max="4" width="50" style="1" customWidth="1"/>
  </cols>
  <sheetData>
    <row r="1" ht="15" customHeight="1" spans="1:4" x14ac:dyDescent="0.25">
      <c r="A1" s="13" t="s">
        <v>271</v>
      </c>
      <c r="B1" s="13" t="s">
        <v>272</v>
      </c>
      <c r="C1" s="13" t="s">
        <v>16</v>
      </c>
      <c r="D1" s="13" t="s">
        <v>273</v>
      </c>
    </row>
    <row r="2" ht="23.25" customHeight="1" spans="1:4" x14ac:dyDescent="0.25">
      <c r="A2" s="14" t="s">
        <v>274</v>
      </c>
      <c r="B2" s="14" t="s">
        <v>275</v>
      </c>
      <c r="C2" s="15" t="s">
        <v>276</v>
      </c>
      <c r="D2" s="14" t="s">
        <v>277</v>
      </c>
    </row>
    <row r="3" ht="15" customHeight="1" spans="1:4" x14ac:dyDescent="0.25">
      <c r="A3" s="14" t="s">
        <v>278</v>
      </c>
      <c r="B3" s="14" t="s">
        <v>279</v>
      </c>
      <c r="C3" s="15" t="s">
        <v>276</v>
      </c>
      <c r="D3" s="14" t="s">
        <v>280</v>
      </c>
    </row>
    <row r="4" ht="23.25" customHeight="1" spans="1:4" x14ac:dyDescent="0.25">
      <c r="A4" s="14" t="s">
        <v>281</v>
      </c>
      <c r="B4" s="14" t="s">
        <v>282</v>
      </c>
      <c r="C4" s="15" t="s">
        <v>283</v>
      </c>
      <c r="D4" s="14" t="s">
        <v>284</v>
      </c>
    </row>
    <row r="5" ht="15" customHeight="1" spans="1:4" x14ac:dyDescent="0.25">
      <c r="A5" s="14" t="s">
        <v>285</v>
      </c>
      <c r="B5" s="14" t="s">
        <v>279</v>
      </c>
      <c r="C5" s="15" t="s">
        <v>286</v>
      </c>
      <c r="D5" s="14" t="s">
        <v>287</v>
      </c>
    </row>
    <row r="6" ht="15" customHeight="1" spans="1:4" x14ac:dyDescent="0.25">
      <c r="A6" s="14" t="s">
        <v>288</v>
      </c>
      <c r="B6" s="14" t="s">
        <v>275</v>
      </c>
      <c r="C6" s="15" t="s">
        <v>276</v>
      </c>
      <c r="D6" s="14" t="s">
        <v>289</v>
      </c>
    </row>
    <row r="7" ht="15" customHeight="1" spans="1:4" x14ac:dyDescent="0.25">
      <c r="A7" s="14" t="s">
        <v>290</v>
      </c>
      <c r="B7" s="14" t="s">
        <v>275</v>
      </c>
      <c r="C7" s="15" t="s">
        <v>276</v>
      </c>
      <c r="D7" s="14" t="s">
        <v>291</v>
      </c>
    </row>
    <row r="8" ht="15" customHeight="1" spans="1:4" x14ac:dyDescent="0.25">
      <c r="A8" s="14" t="s">
        <v>292</v>
      </c>
      <c r="B8" s="14" t="s">
        <v>275</v>
      </c>
      <c r="C8" s="15" t="s">
        <v>293</v>
      </c>
      <c r="D8" s="14" t="s">
        <v>294</v>
      </c>
    </row>
    <row r="9" ht="15" customHeight="1" spans="1:4" x14ac:dyDescent="0.25">
      <c r="A9" s="14" t="s">
        <v>295</v>
      </c>
      <c r="B9" s="14" t="s">
        <v>275</v>
      </c>
      <c r="C9" s="15" t="s">
        <v>276</v>
      </c>
      <c r="D9" s="14" t="s">
        <v>296</v>
      </c>
    </row>
    <row r="10" ht="15" customHeight="1" spans="1:4" x14ac:dyDescent="0.25">
      <c r="A10" s="14" t="s">
        <v>297</v>
      </c>
      <c r="B10" s="14" t="s">
        <v>298</v>
      </c>
      <c r="C10" s="15" t="s">
        <v>299</v>
      </c>
      <c r="D10" s="14" t="s">
        <v>300</v>
      </c>
    </row>
    <row r="11" ht="15" customHeight="1" spans="1:4" x14ac:dyDescent="0.25">
      <c r="A11" s="14" t="s">
        <v>301</v>
      </c>
      <c r="B11" s="14" t="s">
        <v>275</v>
      </c>
      <c r="C11" s="15" t="s">
        <v>299</v>
      </c>
      <c r="D11" s="14" t="s">
        <v>302</v>
      </c>
    </row>
    <row r="12" ht="15" customHeight="1" spans="1:4" x14ac:dyDescent="0.25">
      <c r="A12" s="14" t="s">
        <v>303</v>
      </c>
      <c r="B12" s="14" t="s">
        <v>304</v>
      </c>
      <c r="C12" s="15" t="s">
        <v>305</v>
      </c>
      <c r="D12" s="14" t="s">
        <v>306</v>
      </c>
    </row>
    <row r="13" ht="15" customHeight="1" spans="1:4" x14ac:dyDescent="0.25">
      <c r="A13" s="14" t="s">
        <v>307</v>
      </c>
      <c r="B13" s="14" t="s">
        <v>308</v>
      </c>
      <c r="C13" s="15" t="s">
        <v>309</v>
      </c>
      <c r="D13" s="14" t="s">
        <v>310</v>
      </c>
    </row>
    <row r="14" ht="15" customHeight="1" spans="1:4" x14ac:dyDescent="0.25">
      <c r="A14" s="14" t="s">
        <v>311</v>
      </c>
      <c r="B14" s="14" t="s">
        <v>312</v>
      </c>
      <c r="C14" s="15" t="s">
        <v>237</v>
      </c>
      <c r="D14" s="14" t="s">
        <v>313</v>
      </c>
    </row>
    <row r="15" spans="1:4" x14ac:dyDescent="0.25">
      <c r="A15" s="1" t="s">
        <v>314</v>
      </c>
      <c r="B15" s="1" t="s">
        <v>315</v>
      </c>
      <c r="C15" s="1" t="s">
        <v>276</v>
      </c>
      <c r="D15" s="1" t="s">
        <v>316</v>
      </c>
    </row>
    <row r="16" spans="1:4" x14ac:dyDescent="0.25">
      <c r="A16" s="1" t="s">
        <v>317</v>
      </c>
      <c r="B16" s="1" t="s">
        <v>318</v>
      </c>
      <c r="C16" s="1" t="s">
        <v>276</v>
      </c>
      <c r="D16" s="1" t="s">
        <v>319</v>
      </c>
    </row>
    <row r="17" spans="1:4" x14ac:dyDescent="0.25">
      <c r="A17" s="1" t="s">
        <v>320</v>
      </c>
      <c r="B17" s="1" t="s">
        <v>321</v>
      </c>
      <c r="C17" s="1" t="s">
        <v>276</v>
      </c>
      <c r="D17" s="1" t="s">
        <v>322</v>
      </c>
    </row>
    <row r="18" spans="1:4" x14ac:dyDescent="0.25">
      <c r="A18" s="1" t="s">
        <v>323</v>
      </c>
      <c r="B18" s="1" t="s">
        <v>324</v>
      </c>
      <c r="C18" s="1" t="s">
        <v>276</v>
      </c>
      <c r="D18" s="1" t="s">
        <v>325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Dashboard</vt:lpstr>
      <vt:lpstr>Tracker</vt:lpstr>
      <vt:lpstr>Sitemap</vt:lpstr>
      <vt:lpstr>Client Inputs</vt:lpstr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2026-10-23T10:02:15Z</dcterms:created>
  <dcterms:modified xsi:type="dcterms:W3CDTF">2026-10-23T10:02:42Z</dcterms:modified>
</cp:coreProperties>
</file>